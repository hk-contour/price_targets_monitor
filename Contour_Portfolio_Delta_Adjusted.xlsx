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harikumar/Desktop/"/>
    </mc:Choice>
  </mc:AlternateContent>
  <xr:revisionPtr revIDLastSave="0" documentId="8_{5F9A8E57-8111-474C-9B1D-A9F8A6B0FA34}" xr6:coauthVersionLast="47" xr6:coauthVersionMax="47" xr10:uidLastSave="{00000000-0000-0000-0000-000000000000}"/>
  <bookViews>
    <workbookView xWindow="0" yWindow="660" windowWidth="29040" windowHeight="15720" xr2:uid="{00000000-000D-0000-FFFF-FFFF00000000}"/>
  </bookViews>
  <sheets>
    <sheet name="Issuer" sheetId="1" r:id="rId1"/>
    <sheet name="Instrumen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1" l="1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D50" i="2"/>
  <c r="H49" i="2"/>
  <c r="D49" i="2"/>
  <c r="H48" i="2"/>
  <c r="D48" i="2"/>
  <c r="H47" i="2"/>
  <c r="D47" i="2"/>
  <c r="H46" i="2"/>
  <c r="D46" i="2"/>
  <c r="H45" i="2"/>
  <c r="D45" i="2"/>
  <c r="H44" i="2"/>
  <c r="D44" i="2"/>
  <c r="H43" i="2"/>
  <c r="D43" i="2"/>
  <c r="H42" i="2"/>
  <c r="D42" i="2"/>
  <c r="H41" i="2"/>
  <c r="D41" i="2"/>
  <c r="H40" i="2"/>
  <c r="D40" i="2"/>
  <c r="H39" i="2"/>
  <c r="D39" i="2"/>
  <c r="H38" i="2"/>
  <c r="D38" i="2"/>
  <c r="H37" i="2"/>
  <c r="D37" i="2"/>
  <c r="H36" i="2"/>
  <c r="D36" i="2"/>
  <c r="H35" i="2"/>
  <c r="D35" i="2"/>
  <c r="H34" i="2"/>
  <c r="D34" i="2"/>
  <c r="H33" i="2"/>
  <c r="D33" i="2"/>
  <c r="H32" i="2"/>
  <c r="D32" i="2"/>
  <c r="H31" i="2"/>
  <c r="D31" i="2"/>
  <c r="H30" i="2"/>
  <c r="D30" i="2"/>
  <c r="H29" i="2"/>
  <c r="D29" i="2"/>
  <c r="H28" i="2"/>
  <c r="D28" i="2"/>
  <c r="H27" i="2"/>
  <c r="D27" i="2"/>
  <c r="H26" i="2"/>
  <c r="D26" i="2"/>
  <c r="H25" i="2"/>
  <c r="D25" i="2"/>
  <c r="H24" i="2"/>
  <c r="D24" i="2"/>
  <c r="H23" i="2"/>
  <c r="D23" i="2"/>
  <c r="H22" i="2"/>
  <c r="D22" i="2"/>
  <c r="H21" i="2"/>
  <c r="D21" i="2"/>
  <c r="H20" i="2"/>
  <c r="D20" i="2"/>
  <c r="H19" i="2"/>
  <c r="D19" i="2"/>
  <c r="H18" i="2"/>
  <c r="D18" i="2"/>
  <c r="H17" i="2"/>
  <c r="D17" i="2"/>
  <c r="H16" i="2"/>
  <c r="D16" i="2"/>
  <c r="H15" i="2"/>
  <c r="D15" i="2"/>
  <c r="H14" i="2"/>
  <c r="D14" i="2"/>
  <c r="H13" i="2"/>
  <c r="D13" i="2"/>
  <c r="H12" i="2"/>
  <c r="D12" i="2"/>
  <c r="Q11" i="2"/>
  <c r="M11" i="2"/>
  <c r="H11" i="2"/>
  <c r="D11" i="2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D48" i="1"/>
  <c r="H47" i="1"/>
  <c r="D47" i="1"/>
  <c r="H46" i="1"/>
  <c r="D46" i="1"/>
  <c r="H45" i="1"/>
  <c r="D45" i="1"/>
  <c r="H44" i="1"/>
  <c r="D44" i="1"/>
  <c r="H43" i="1"/>
  <c r="D43" i="1"/>
  <c r="H42" i="1"/>
  <c r="D42" i="1"/>
  <c r="H41" i="1"/>
  <c r="D41" i="1"/>
  <c r="H40" i="1"/>
  <c r="D40" i="1"/>
  <c r="H39" i="1"/>
  <c r="D39" i="1"/>
  <c r="H38" i="1"/>
  <c r="D38" i="1"/>
  <c r="H37" i="1"/>
  <c r="D37" i="1"/>
  <c r="H36" i="1"/>
  <c r="D36" i="1"/>
  <c r="H35" i="1"/>
  <c r="D35" i="1"/>
  <c r="H34" i="1"/>
  <c r="D34" i="1"/>
  <c r="H33" i="1"/>
  <c r="D33" i="1"/>
  <c r="H32" i="1"/>
  <c r="D32" i="1"/>
  <c r="H31" i="1"/>
  <c r="D31" i="1"/>
  <c r="H30" i="1"/>
  <c r="D30" i="1"/>
  <c r="H29" i="1"/>
  <c r="D29" i="1"/>
  <c r="H28" i="1"/>
  <c r="D28" i="1"/>
  <c r="H27" i="1"/>
  <c r="D27" i="1"/>
  <c r="H26" i="1"/>
  <c r="D26" i="1"/>
  <c r="H25" i="1"/>
  <c r="D25" i="1"/>
  <c r="H24" i="1"/>
  <c r="D24" i="1"/>
  <c r="H23" i="1"/>
  <c r="D23" i="1"/>
  <c r="H22" i="1"/>
  <c r="D22" i="1"/>
  <c r="H21" i="1"/>
  <c r="D21" i="1"/>
  <c r="H20" i="1"/>
  <c r="D20" i="1"/>
  <c r="H19" i="1"/>
  <c r="D19" i="1"/>
  <c r="H18" i="1"/>
  <c r="D18" i="1"/>
  <c r="H17" i="1"/>
  <c r="D17" i="1"/>
  <c r="H16" i="1"/>
  <c r="D16" i="1"/>
  <c r="H15" i="1"/>
  <c r="D15" i="1"/>
  <c r="H14" i="1"/>
  <c r="D14" i="1"/>
  <c r="H13" i="1"/>
  <c r="D13" i="1"/>
  <c r="H12" i="1"/>
  <c r="D12" i="1"/>
  <c r="Q11" i="1"/>
  <c r="M11" i="1"/>
  <c r="H11" i="1"/>
</calcChain>
</file>

<file path=xl/sharedStrings.xml><?xml version="1.0" encoding="utf-8"?>
<sst xmlns="http://schemas.openxmlformats.org/spreadsheetml/2006/main" count="246" uniqueCount="215">
  <si>
    <t>Contour Portfolio (Delta Adjusted)</t>
  </si>
  <si>
    <t>Issuer</t>
  </si>
  <si>
    <t>Portfolio Weights</t>
  </si>
  <si>
    <t>LONGS</t>
  </si>
  <si>
    <t>SHORTS</t>
  </si>
  <si>
    <t>Portfolio Weight</t>
  </si>
  <si>
    <t>FILTERS: Excluding Cross Rates and Accounting Cash</t>
  </si>
  <si>
    <t>SERIES: Trading (non-additive)</t>
  </si>
  <si>
    <t>NET</t>
  </si>
  <si>
    <t>DASH</t>
  </si>
  <si>
    <t>FICO</t>
  </si>
  <si>
    <t/>
  </si>
  <si>
    <t>Manticore Master Fund</t>
  </si>
  <si>
    <t>DASH US 01/15/27 P150 OTC (DASH 1/15/27 P150 OTC)</t>
  </si>
  <si>
    <t>TELEPERFORMANCE ORD (PAR) CFD</t>
  </si>
  <si>
    <t>Instrument</t>
  </si>
  <si>
    <t>FAIR ISAAC ORD (NYS)</t>
  </si>
  <si>
    <t>LAMAR ADVERTISING CL A REIT (NMS)</t>
  </si>
  <si>
    <t>LAMR</t>
  </si>
  <si>
    <t>CSU</t>
  </si>
  <si>
    <t>ADSK</t>
  </si>
  <si>
    <t>CTAS</t>
  </si>
  <si>
    <t>EFX</t>
  </si>
  <si>
    <t>7751</t>
  </si>
  <si>
    <t>LOGI</t>
  </si>
  <si>
    <t>MANH</t>
  </si>
  <si>
    <t>HQY</t>
  </si>
  <si>
    <t>CRWD</t>
  </si>
  <si>
    <t>IBM</t>
  </si>
  <si>
    <t>VRSK</t>
  </si>
  <si>
    <t>ARMK</t>
  </si>
  <si>
    <t>GRMN</t>
  </si>
  <si>
    <t>NYT</t>
  </si>
  <si>
    <t>6098</t>
  </si>
  <si>
    <t>EBAY</t>
  </si>
  <si>
    <t>PLTR</t>
  </si>
  <si>
    <t>BSY</t>
  </si>
  <si>
    <t>PUBP</t>
  </si>
  <si>
    <t>TTAN</t>
  </si>
  <si>
    <t>NOW</t>
  </si>
  <si>
    <t>ADP</t>
  </si>
  <si>
    <t>IOT</t>
  </si>
  <si>
    <t>EXLS</t>
  </si>
  <si>
    <t>RHMG</t>
  </si>
  <si>
    <t>MSLYT26S</t>
  </si>
  <si>
    <t>4901</t>
  </si>
  <si>
    <t>NICE</t>
  </si>
  <si>
    <t>AAPL</t>
  </si>
  <si>
    <t>8136</t>
  </si>
  <si>
    <t>REA</t>
  </si>
  <si>
    <t>IT</t>
  </si>
  <si>
    <t>RCIb</t>
  </si>
  <si>
    <t>CDW</t>
  </si>
  <si>
    <t>TYL</t>
  </si>
  <si>
    <t>T CN</t>
  </si>
  <si>
    <t>FNF</t>
  </si>
  <si>
    <t>SLM</t>
  </si>
  <si>
    <t>SEZL</t>
  </si>
  <si>
    <t>DUOL</t>
  </si>
  <si>
    <t>ANET</t>
  </si>
  <si>
    <t>LOPE</t>
  </si>
  <si>
    <t>CHH</t>
  </si>
  <si>
    <t>ADBE</t>
  </si>
  <si>
    <t>OPEN</t>
  </si>
  <si>
    <t>RHI</t>
  </si>
  <si>
    <t>CARG</t>
  </si>
  <si>
    <t>SYM</t>
  </si>
  <si>
    <t>FAF</t>
  </si>
  <si>
    <t>QLYS</t>
  </si>
  <si>
    <t>WTC</t>
  </si>
  <si>
    <t>WSP</t>
  </si>
  <si>
    <t>SOFI</t>
  </si>
  <si>
    <t>DDOG</t>
  </si>
  <si>
    <t>WIX</t>
  </si>
  <si>
    <t>LAUR</t>
  </si>
  <si>
    <t>3034</t>
  </si>
  <si>
    <t>STN</t>
  </si>
  <si>
    <t>CNXC</t>
  </si>
  <si>
    <t>TEPRF</t>
  </si>
  <si>
    <t>XYZ</t>
  </si>
  <si>
    <t>TSM</t>
  </si>
  <si>
    <t>GOOG</t>
  </si>
  <si>
    <t>AMZN</t>
  </si>
  <si>
    <t>005930</t>
  </si>
  <si>
    <t>CART</t>
  </si>
  <si>
    <t>T</t>
  </si>
  <si>
    <t>RACE</t>
  </si>
  <si>
    <t>ZBRA</t>
  </si>
  <si>
    <t>6857</t>
  </si>
  <si>
    <t>AG1G</t>
  </si>
  <si>
    <t>RKT</t>
  </si>
  <si>
    <t>FWONK</t>
  </si>
  <si>
    <t>IRM</t>
  </si>
  <si>
    <t>LYFT</t>
  </si>
  <si>
    <t>ORCL</t>
  </si>
  <si>
    <t>RBLX</t>
  </si>
  <si>
    <t>TSLA</t>
  </si>
  <si>
    <t>TRMB</t>
  </si>
  <si>
    <t>6752</t>
  </si>
  <si>
    <t>ETN</t>
  </si>
  <si>
    <t>DKNG</t>
  </si>
  <si>
    <t>000660</t>
  </si>
  <si>
    <t>SAPG</t>
  </si>
  <si>
    <t>NOD</t>
  </si>
  <si>
    <t>ZETA</t>
  </si>
  <si>
    <t>GLBE</t>
  </si>
  <si>
    <t>STM</t>
  </si>
  <si>
    <t>QRVO</t>
  </si>
  <si>
    <t>MSLYT26L</t>
  </si>
  <si>
    <t>W</t>
  </si>
  <si>
    <t>BILL</t>
  </si>
  <si>
    <t>DT</t>
  </si>
  <si>
    <t>P</t>
  </si>
  <si>
    <t>SNDK</t>
  </si>
  <si>
    <t>ETSY</t>
  </si>
  <si>
    <t>SPHR</t>
  </si>
  <si>
    <t>CONSTELLATION SOFTWARE ORD (TOR)</t>
  </si>
  <si>
    <t>AUTODESK ORD (NMS)</t>
  </si>
  <si>
    <t>CINTAS ORD (NMS)</t>
  </si>
  <si>
    <t>EQUIFAX ORD (NYS)</t>
  </si>
  <si>
    <t>CANON ORD (TYO) CFD</t>
  </si>
  <si>
    <t>LOGITECH N ORD (NMS)</t>
  </si>
  <si>
    <t>MANHATTAN ASSOCIATES ORD (NMS)</t>
  </si>
  <si>
    <t>HEALTHEQUITY ORD (NMS)</t>
  </si>
  <si>
    <t>CROWDSTRIKE HOLDINGS CL A ORD (NMS)</t>
  </si>
  <si>
    <t>INTERNATIONAL BUSINESS MACHINES ORD (NYS)</t>
  </si>
  <si>
    <t>VERISK ANALYTICS ORD (NMS)</t>
  </si>
  <si>
    <t>ARAMARK ORD (NYS)</t>
  </si>
  <si>
    <t>GARMIN ORD (NYS)</t>
  </si>
  <si>
    <t>NEW YORK TIMES CL A ORD (NYS)</t>
  </si>
  <si>
    <t>RECRUIT HOLDINGS CO LTD (TYO) CFD</t>
  </si>
  <si>
    <t>EBAY ORD (NMS)</t>
  </si>
  <si>
    <t>PALANTIR TECHNOLOGIES CL A ORD (NMS)</t>
  </si>
  <si>
    <t>BENTLEY SYSTEMS CL B ORD (NMS)</t>
  </si>
  <si>
    <t>PUBLICIS GROUPE ORD (PAR) CFD</t>
  </si>
  <si>
    <t>SERVICETITAN CL A ORD (NMS)</t>
  </si>
  <si>
    <t>SERVICENOW ORD (NYS)</t>
  </si>
  <si>
    <t>AUTOMATIC DATA PROCESSING ORD (NMS)</t>
  </si>
  <si>
    <t>SAMSARA CL A ORD (NYS)</t>
  </si>
  <si>
    <t>EXLSERVICE HOLDINGS ORD (NMS)</t>
  </si>
  <si>
    <t>RHEINMETALL ORD (GER)</t>
  </si>
  <si>
    <t>MSLYT26S INDEX CFD</t>
  </si>
  <si>
    <t>FUJIFILM HOLDING ORD (TYO) CFD</t>
  </si>
  <si>
    <t>NICE ADR REP 1 ORD (NMS)</t>
  </si>
  <si>
    <t>APPLE ORD (NMS)</t>
  </si>
  <si>
    <t>SANRIO ORD (TYO) CFD</t>
  </si>
  <si>
    <t>REA GROUP ORD (ASX) CFD</t>
  </si>
  <si>
    <t>GARTNER ORD (NYS)</t>
  </si>
  <si>
    <t>ROGERS COMMUNICATIONS CL B ORD (TOR)</t>
  </si>
  <si>
    <t>CDW ORD (NMS)</t>
  </si>
  <si>
    <t>TYLER TECHNOLOGIES ORD (NYS)</t>
  </si>
  <si>
    <t>TELUS ORD (TOR)</t>
  </si>
  <si>
    <t>FIDELITY NATIONAL FINANCIAL ORD (NYS)</t>
  </si>
  <si>
    <t>SLM ORD (NMS)</t>
  </si>
  <si>
    <t>SEZZLE INC (NMS)</t>
  </si>
  <si>
    <t>DUOLINGO CL A ORD (NMS)</t>
  </si>
  <si>
    <t>ARISTA NETWORKS ORD (NYS)</t>
  </si>
  <si>
    <t>GRAND CANYON EDUCATION ORD (NMS)</t>
  </si>
  <si>
    <t>CHOICE HOTELS INTERNATIONAL ORD (NYS)</t>
  </si>
  <si>
    <t>ADOBE ORD (NMS)</t>
  </si>
  <si>
    <t>OPENDOOR TECHNOLOGIES ORD (NMS)</t>
  </si>
  <si>
    <t>ROBERT HALF ORD (NYS)</t>
  </si>
  <si>
    <t>CARGURUS CL A ORD (NMS)</t>
  </si>
  <si>
    <t>SYMBOTIC CL A ORD (NMS)</t>
  </si>
  <si>
    <t>FIRST AMERICAN FINANCIAL ORD (NYS)</t>
  </si>
  <si>
    <t>QUALYS ORD (NMS)</t>
  </si>
  <si>
    <t>WISETECH GLOBAL ORD (ASX) CFD</t>
  </si>
  <si>
    <t>WSP GLOBAL ORD (TOR)</t>
  </si>
  <si>
    <t>SOFI TECHNOLOGIES ORD (NMS)</t>
  </si>
  <si>
    <t>DATADOG CL A ORD (NMS)</t>
  </si>
  <si>
    <t>WIX.COM ORD (NMS)</t>
  </si>
  <si>
    <t>DASH US 01/15/27 C200 OTC (DASH 1/15/27 C200 OTC)</t>
  </si>
  <si>
    <t>LAUREATE EDUCATION ORD (NMS)</t>
  </si>
  <si>
    <t>NOVATEK MICROELE ORD (TAI) CFD_USD</t>
  </si>
  <si>
    <t>STANTEC ORD (TOR)</t>
  </si>
  <si>
    <t>CONCENTRIX ORD (NMS)</t>
  </si>
  <si>
    <t>BLOCK CL A ORD (NYS)</t>
  </si>
  <si>
    <t>TWN SEMICONT MAN ORD (TAI) CFD_USD</t>
  </si>
  <si>
    <t>ALPHABET CL A ORD (NMS)</t>
  </si>
  <si>
    <t>AMAZON COM ORD (NMS)</t>
  </si>
  <si>
    <t>SAMSUNG ELECTR ORD (KSC) CFD_USD</t>
  </si>
  <si>
    <t>MAPLEBEAR ORD (NMS)</t>
  </si>
  <si>
    <t>AT&amp;T ORD (NYS)</t>
  </si>
  <si>
    <t>ZEBRA TECHNOLOGIES CL A ORD (NMS)</t>
  </si>
  <si>
    <t>ADVANTEST ORD (TYO) CFD</t>
  </si>
  <si>
    <t>AUTO1 GROUP ORD (GER)</t>
  </si>
  <si>
    <t>ROCKET COMPANIES CL A ORD (NYS)</t>
  </si>
  <si>
    <t>LIBERTY MEDIA FORMULA ONE SRS C ORD (NMS)</t>
  </si>
  <si>
    <t>IRON MOUNTAIN ORD (NYS)</t>
  </si>
  <si>
    <t>LYFT CL A ORD (NMS)</t>
  </si>
  <si>
    <t>ORACLE ORD (NYS)</t>
  </si>
  <si>
    <t>ROBLOX CL A ORD (NYS)</t>
  </si>
  <si>
    <t>TESLA ORD (NMS)</t>
  </si>
  <si>
    <t>TRIMBLE ORD (NMS)</t>
  </si>
  <si>
    <t>PANASONIC HLDG ORD (TYO) CFD</t>
  </si>
  <si>
    <t>EATON ORD (NYS)</t>
  </si>
  <si>
    <t>FERRARI ORD (NYS)</t>
  </si>
  <si>
    <t>DRAFTKINGS CL A ORD (NMS)</t>
  </si>
  <si>
    <t>SK HYNIX ORD (KSC) CFD_USD</t>
  </si>
  <si>
    <t>SAP ORD (GER)</t>
  </si>
  <si>
    <t>NORDIC SEMICONDUCTOR ORD (OSL)</t>
  </si>
  <si>
    <t>ZETA GLOBAL HOLDINGS CL A ORD (NYS)</t>
  </si>
  <si>
    <t>GLOBAL E ONLINE ORD (NMS)</t>
  </si>
  <si>
    <t>STMICROELECTRONICS ADR (NYS)</t>
  </si>
  <si>
    <t>QORVO ORD (NMS)</t>
  </si>
  <si>
    <t>MSLYT26L INDEX CFD</t>
  </si>
  <si>
    <t>FERRARI ORD (MIL)</t>
  </si>
  <si>
    <t>WAYFAIR CL A ORD (NYS)</t>
  </si>
  <si>
    <t>BILL HOLDINGS ORD (NYS)</t>
  </si>
  <si>
    <t>DYNATRACE ORD (NYS)</t>
  </si>
  <si>
    <t>EVERPURE CL A ORD (NYS)</t>
  </si>
  <si>
    <t>SANDISK ORD (NMS)</t>
  </si>
  <si>
    <t>ETSY ORD (NYS)</t>
  </si>
  <si>
    <t>SPHERE ENTERTAINMENT CL A ORD (NYS)</t>
  </si>
  <si>
    <t>CLOUDFLARE CL A ORD (NYS)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</si>
</sst>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4659260841701"/>
        <bgColor indexed="64"/>
      </patternFill>
    </fill>
    <fill>
      <patternFill patternType="solid">
        <fgColor theme="0" tint="-4.9958800012207406E-2"/>
        <bgColor indexed="64"/>
      </patternFill>
    </fill>
  </fills>
  <borders count="10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10" fontId="0" fillId="0" borderId="0" xfId="0" applyNumberFormat="1"/>
    <xf numFmtId="0" fontId="1" fillId="0" borderId="0" xfId="0" applyFont="1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0" fillId="3" borderId="4" xfId="0" applyFill="1" applyBorder="1"/>
    <xf numFmtId="0" fontId="0" fillId="3" borderId="5" xfId="0" applyFill="1" applyBorder="1"/>
    <xf numFmtId="0" fontId="0" fillId="3" borderId="6" xfId="0" applyFill="1" applyBorder="1"/>
    <xf numFmtId="0" fontId="0" fillId="3" borderId="7" xfId="0" applyFill="1" applyBorder="1"/>
    <xf numFmtId="10" fontId="0" fillId="3" borderId="0" xfId="0" applyNumberFormat="1" applyFill="1"/>
    <xf numFmtId="0" fontId="0" fillId="3" borderId="0" xfId="0" applyFill="1"/>
    <xf numFmtId="10" fontId="0" fillId="3" borderId="8" xfId="0" applyNumberFormat="1" applyFill="1" applyBorder="1"/>
    <xf numFmtId="0" fontId="0" fillId="3" borderId="8" xfId="0" applyFill="1" applyBorder="1"/>
    <xf numFmtId="0" fontId="2" fillId="0" borderId="0" xfId="0" applyFont="1"/>
    <xf numFmtId="0" fontId="0" fillId="0" borderId="5" xfId="0" applyBorder="1"/>
    <xf numFmtId="0" fontId="1" fillId="2" borderId="5" xfId="0" applyFont="1" applyFill="1" applyBorder="1"/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0" fillId="0" borderId="9" xfId="0" applyBorder="1"/>
    <xf numFmtId="0" fontId="1" fillId="3" borderId="7" xfId="0" applyFont="1" applyFill="1" applyBorder="1"/>
    <xf numFmtId="0" fontId="1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D6D00E-F3A7-4FD6-86F3-70A35F8FFA0A}">
  <dimension ref="A1:Q201"/>
  <sheetViews>
    <sheetView tabSelected="1" workbookViewId="0">
      <selection activeCell="J21" sqref="J21"/>
    </sheetView>
  </sheetViews>
  <sheetFormatPr baseColWidth="10" defaultColWidth="8.83203125" defaultRowHeight="15" x14ac:dyDescent="0.2"/>
  <cols>
    <col min="3" max="3" width="0" hidden="1" customWidth="1"/>
    <col min="4" max="4" width="15.6640625" bestFit="1" customWidth="1"/>
    <col min="7" max="7" width="0" hidden="1" customWidth="1"/>
    <col min="8" max="8" width="15.6640625" bestFit="1" customWidth="1"/>
    <col min="12" max="12" width="15.6640625" hidden="1" customWidth="1"/>
    <col min="13" max="13" width="15.6640625" bestFit="1" customWidth="1"/>
    <col min="16" max="16" width="15.6640625" hidden="1" customWidth="1"/>
    <col min="17" max="17" width="15.6640625" bestFit="1" customWidth="1"/>
  </cols>
  <sheetData>
    <row r="1" spans="1:17" ht="19" x14ac:dyDescent="0.25">
      <c r="A1" s="14" t="s">
        <v>0</v>
      </c>
    </row>
    <row r="2" spans="1:17" x14ac:dyDescent="0.2">
      <c r="A2" s="17" t="s">
        <v>12</v>
      </c>
    </row>
    <row r="3" spans="1:17" x14ac:dyDescent="0.2">
      <c r="A3" s="18" t="s">
        <v>6</v>
      </c>
    </row>
    <row r="4" spans="1:17" x14ac:dyDescent="0.2">
      <c r="A4" s="18" t="s">
        <v>7</v>
      </c>
    </row>
    <row r="6" spans="1:17" x14ac:dyDescent="0.2">
      <c r="B6" s="2" t="s">
        <v>3</v>
      </c>
      <c r="C6" s="2"/>
      <c r="D6" s="2"/>
      <c r="E6" s="2"/>
      <c r="F6" s="2" t="s">
        <v>4</v>
      </c>
      <c r="K6" s="2" t="s">
        <v>3</v>
      </c>
      <c r="O6" s="2" t="s">
        <v>4</v>
      </c>
    </row>
    <row r="7" spans="1:17" x14ac:dyDescent="0.2">
      <c r="K7" s="2"/>
      <c r="O7" s="2"/>
    </row>
    <row r="8" spans="1:17" ht="16" thickBot="1" x14ac:dyDescent="0.25"/>
    <row r="9" spans="1:17" ht="16" thickBot="1" x14ac:dyDescent="0.25">
      <c r="B9" s="3" t="s">
        <v>1</v>
      </c>
      <c r="C9" s="4"/>
      <c r="D9" s="4" t="s">
        <v>2</v>
      </c>
      <c r="E9" s="16"/>
      <c r="F9" s="4" t="s">
        <v>1</v>
      </c>
      <c r="G9" s="4"/>
      <c r="H9" s="5" t="s">
        <v>2</v>
      </c>
      <c r="I9" s="2"/>
      <c r="J9" s="2"/>
      <c r="K9" s="3" t="s">
        <v>1</v>
      </c>
      <c r="L9" s="4" t="s">
        <v>2</v>
      </c>
      <c r="M9" s="4" t="s">
        <v>2</v>
      </c>
      <c r="N9" s="4"/>
      <c r="O9" s="4" t="s">
        <v>1</v>
      </c>
      <c r="P9" s="5" t="s">
        <v>2</v>
      </c>
      <c r="Q9" s="5" t="s">
        <v>2</v>
      </c>
    </row>
    <row r="10" spans="1:17" x14ac:dyDescent="0.2">
      <c r="B10" s="6"/>
      <c r="C10" s="7"/>
      <c r="D10" s="7"/>
      <c r="E10" s="19"/>
      <c r="F10" s="7"/>
      <c r="G10" s="7"/>
      <c r="H10" s="8"/>
      <c r="K10" s="6"/>
      <c r="L10" s="7"/>
      <c r="M10" s="7"/>
      <c r="N10" s="15"/>
      <c r="O10" s="7"/>
      <c r="P10" s="7"/>
      <c r="Q10" s="8"/>
    </row>
    <row r="11" spans="1:17" x14ac:dyDescent="0.2">
      <c r="B11" s="9" t="s">
        <v>79</v>
      </c>
      <c r="C11" s="10">
        <v>10.114913123044515</v>
      </c>
      <c r="D11" s="10">
        <f t="shared" ref="D11:D48" si="0">IF(B11="","",(C11/100))</f>
        <v>0.10114913123044515</v>
      </c>
      <c r="F11" s="11" t="s">
        <v>10</v>
      </c>
      <c r="G11" s="10">
        <v>-7.0254505788774777</v>
      </c>
      <c r="H11" s="12">
        <f t="shared" ref="H11:H42" si="1">IF(F11="","",G11/100)</f>
        <v>-7.0254505788774776E-2</v>
      </c>
      <c r="K11" s="20" t="s">
        <v>11</v>
      </c>
      <c r="L11" s="11"/>
      <c r="M11" s="10" t="str">
        <f>IF(L11="","",L11/100)</f>
        <v/>
      </c>
      <c r="O11" s="21" t="s">
        <v>11</v>
      </c>
      <c r="P11" s="11"/>
      <c r="Q11" s="12" t="str">
        <f>IF(P11="","",P11/100)</f>
        <v/>
      </c>
    </row>
    <row r="12" spans="1:17" x14ac:dyDescent="0.2">
      <c r="B12" s="9" t="s">
        <v>80</v>
      </c>
      <c r="C12" s="10">
        <v>7.4234234046912162</v>
      </c>
      <c r="D12" s="10">
        <f t="shared" si="0"/>
        <v>7.4234234046912165E-2</v>
      </c>
      <c r="F12" s="11" t="s">
        <v>18</v>
      </c>
      <c r="G12" s="10">
        <v>-5.1423608203890385</v>
      </c>
      <c r="H12" s="12">
        <f t="shared" si="1"/>
        <v>-5.1423608203890386E-2</v>
      </c>
      <c r="K12" s="9"/>
      <c r="L12" s="11"/>
      <c r="M12" s="11"/>
      <c r="O12" s="11"/>
      <c r="P12" s="11"/>
      <c r="Q12" s="13"/>
    </row>
    <row r="13" spans="1:17" x14ac:dyDescent="0.2">
      <c r="B13" s="9" t="s">
        <v>81</v>
      </c>
      <c r="C13" s="10">
        <v>6.8676479221103426</v>
      </c>
      <c r="D13" s="10">
        <f t="shared" si="0"/>
        <v>6.8676479221103426E-2</v>
      </c>
      <c r="F13" s="11" t="s">
        <v>19</v>
      </c>
      <c r="G13" s="10">
        <v>-5.0438911761510656</v>
      </c>
      <c r="H13" s="12">
        <f t="shared" si="1"/>
        <v>-5.0438911761510656E-2</v>
      </c>
      <c r="I13" s="1"/>
    </row>
    <row r="14" spans="1:17" x14ac:dyDescent="0.2">
      <c r="B14" s="9" t="s">
        <v>82</v>
      </c>
      <c r="C14" s="10">
        <v>5.7637035126237404</v>
      </c>
      <c r="D14" s="10">
        <f t="shared" si="0"/>
        <v>5.7637035126237406E-2</v>
      </c>
      <c r="F14" s="11" t="s">
        <v>20</v>
      </c>
      <c r="G14" s="10">
        <v>-4.7271739906737658</v>
      </c>
      <c r="H14" s="12">
        <f t="shared" si="1"/>
        <v>-4.7271739906737657E-2</v>
      </c>
      <c r="I14" s="1"/>
    </row>
    <row r="15" spans="1:17" x14ac:dyDescent="0.2">
      <c r="B15" s="9" t="s">
        <v>83</v>
      </c>
      <c r="C15" s="10">
        <v>5.0984983719649195</v>
      </c>
      <c r="D15" s="10">
        <f t="shared" si="0"/>
        <v>5.0984983719649192E-2</v>
      </c>
      <c r="F15" s="11" t="s">
        <v>21</v>
      </c>
      <c r="G15" s="10">
        <v>-4.6162214322468786</v>
      </c>
      <c r="H15" s="12">
        <f t="shared" si="1"/>
        <v>-4.6162214322468788E-2</v>
      </c>
      <c r="I15" s="1"/>
    </row>
    <row r="16" spans="1:17" x14ac:dyDescent="0.2">
      <c r="B16" s="9" t="s">
        <v>84</v>
      </c>
      <c r="C16" s="10">
        <v>4.8088529399076929</v>
      </c>
      <c r="D16" s="10">
        <f t="shared" si="0"/>
        <v>4.8088529399076929E-2</v>
      </c>
      <c r="F16" s="11" t="s">
        <v>22</v>
      </c>
      <c r="G16" s="10">
        <v>-4.0816463521898836</v>
      </c>
      <c r="H16" s="12">
        <f t="shared" si="1"/>
        <v>-4.0816463521898834E-2</v>
      </c>
      <c r="I16" s="1"/>
    </row>
    <row r="17" spans="2:8" x14ac:dyDescent="0.2">
      <c r="B17" s="9" t="s">
        <v>85</v>
      </c>
      <c r="C17" s="10">
        <v>4.4356524193573295</v>
      </c>
      <c r="D17" s="10">
        <f t="shared" si="0"/>
        <v>4.4356524193573298E-2</v>
      </c>
      <c r="F17" s="11" t="s">
        <v>23</v>
      </c>
      <c r="G17" s="10">
        <v>-3.7471572765923411</v>
      </c>
      <c r="H17" s="12">
        <f t="shared" si="1"/>
        <v>-3.747157276592341E-2</v>
      </c>
    </row>
    <row r="18" spans="2:8" x14ac:dyDescent="0.2">
      <c r="B18" s="9" t="s">
        <v>86</v>
      </c>
      <c r="C18" s="10">
        <v>4.2134059992904564</v>
      </c>
      <c r="D18" s="10">
        <f t="shared" si="0"/>
        <v>4.2134059992904566E-2</v>
      </c>
      <c r="F18" s="11" t="s">
        <v>24</v>
      </c>
      <c r="G18" s="10">
        <v>-3.6985352047410642</v>
      </c>
      <c r="H18" s="12">
        <f t="shared" si="1"/>
        <v>-3.6985352047410644E-2</v>
      </c>
    </row>
    <row r="19" spans="2:8" x14ac:dyDescent="0.2">
      <c r="B19" s="9" t="s">
        <v>87</v>
      </c>
      <c r="C19" s="10">
        <v>4.0626808900841747</v>
      </c>
      <c r="D19" s="10">
        <f t="shared" si="0"/>
        <v>4.0626808900841749E-2</v>
      </c>
      <c r="F19" s="11" t="s">
        <v>25</v>
      </c>
      <c r="G19" s="10">
        <v>-3.5731192105080143</v>
      </c>
      <c r="H19" s="12">
        <f t="shared" si="1"/>
        <v>-3.5731192105080141E-2</v>
      </c>
    </row>
    <row r="20" spans="2:8" x14ac:dyDescent="0.2">
      <c r="B20" s="9" t="s">
        <v>88</v>
      </c>
      <c r="C20" s="10">
        <v>3.9255443710187592</v>
      </c>
      <c r="D20" s="10">
        <f t="shared" si="0"/>
        <v>3.925544371018759E-2</v>
      </c>
      <c r="F20" s="11" t="s">
        <v>26</v>
      </c>
      <c r="G20" s="10">
        <v>-3.4767550578903101</v>
      </c>
      <c r="H20" s="12">
        <f t="shared" si="1"/>
        <v>-3.47675505789031E-2</v>
      </c>
    </row>
    <row r="21" spans="2:8" x14ac:dyDescent="0.2">
      <c r="B21" s="9" t="s">
        <v>89</v>
      </c>
      <c r="C21" s="10">
        <v>3.7466845055356335</v>
      </c>
      <c r="D21" s="10">
        <f t="shared" si="0"/>
        <v>3.7466845055356336E-2</v>
      </c>
      <c r="F21" s="11" t="s">
        <v>27</v>
      </c>
      <c r="G21" s="10">
        <v>-3.3787963458236683</v>
      </c>
      <c r="H21" s="12">
        <f t="shared" si="1"/>
        <v>-3.3787963458236682E-2</v>
      </c>
    </row>
    <row r="22" spans="2:8" x14ac:dyDescent="0.2">
      <c r="B22" s="9" t="s">
        <v>90</v>
      </c>
      <c r="C22" s="10">
        <v>3.621485491156577</v>
      </c>
      <c r="D22" s="10">
        <f t="shared" si="0"/>
        <v>3.6214854911565772E-2</v>
      </c>
      <c r="F22" s="11" t="s">
        <v>28</v>
      </c>
      <c r="G22" s="10">
        <v>-3.2867573111023902</v>
      </c>
      <c r="H22" s="12">
        <f t="shared" si="1"/>
        <v>-3.2867573111023902E-2</v>
      </c>
    </row>
    <row r="23" spans="2:8" x14ac:dyDescent="0.2">
      <c r="B23" s="9" t="s">
        <v>91</v>
      </c>
      <c r="C23" s="10">
        <v>3.5857433479229086</v>
      </c>
      <c r="D23" s="10">
        <f t="shared" si="0"/>
        <v>3.5857433479229088E-2</v>
      </c>
      <c r="F23" s="11" t="s">
        <v>29</v>
      </c>
      <c r="G23" s="10">
        <v>-2.9874661452109144</v>
      </c>
      <c r="H23" s="12">
        <f t="shared" si="1"/>
        <v>-2.9874661452109142E-2</v>
      </c>
    </row>
    <row r="24" spans="2:8" x14ac:dyDescent="0.2">
      <c r="B24" s="9" t="s">
        <v>92</v>
      </c>
      <c r="C24" s="10">
        <v>3.4417504543854469</v>
      </c>
      <c r="D24" s="10">
        <f t="shared" si="0"/>
        <v>3.441750454385447E-2</v>
      </c>
      <c r="F24" s="11" t="s">
        <v>30</v>
      </c>
      <c r="G24" s="10">
        <v>-2.9113669260193382</v>
      </c>
      <c r="H24" s="12">
        <f t="shared" si="1"/>
        <v>-2.9113669260193382E-2</v>
      </c>
    </row>
    <row r="25" spans="2:8" x14ac:dyDescent="0.2">
      <c r="B25" s="9" t="s">
        <v>93</v>
      </c>
      <c r="C25" s="10">
        <v>3.2804380186953459</v>
      </c>
      <c r="D25" s="10">
        <f t="shared" si="0"/>
        <v>3.2804380186953461E-2</v>
      </c>
      <c r="F25" s="11" t="s">
        <v>31</v>
      </c>
      <c r="G25" s="10">
        <v>-2.873761068289765</v>
      </c>
      <c r="H25" s="12">
        <f t="shared" si="1"/>
        <v>-2.8737610682897648E-2</v>
      </c>
    </row>
    <row r="26" spans="2:8" x14ac:dyDescent="0.2">
      <c r="B26" s="9" t="s">
        <v>94</v>
      </c>
      <c r="C26" s="10">
        <v>3.2750090472635747</v>
      </c>
      <c r="D26" s="10">
        <f t="shared" si="0"/>
        <v>3.2750090472635746E-2</v>
      </c>
      <c r="F26" s="11" t="s">
        <v>32</v>
      </c>
      <c r="G26" s="10">
        <v>-2.6738666363436119</v>
      </c>
      <c r="H26" s="12">
        <f t="shared" si="1"/>
        <v>-2.6738666363436119E-2</v>
      </c>
    </row>
    <row r="27" spans="2:8" x14ac:dyDescent="0.2">
      <c r="B27" s="9" t="s">
        <v>95</v>
      </c>
      <c r="C27" s="10">
        <v>2.8824728500031798</v>
      </c>
      <c r="D27" s="10">
        <f t="shared" si="0"/>
        <v>2.8824728500031798E-2</v>
      </c>
      <c r="F27" s="11" t="s">
        <v>33</v>
      </c>
      <c r="G27" s="10">
        <v>-2.5441864922387301</v>
      </c>
      <c r="H27" s="12">
        <f t="shared" si="1"/>
        <v>-2.54418649223873E-2</v>
      </c>
    </row>
    <row r="28" spans="2:8" x14ac:dyDescent="0.2">
      <c r="B28" s="9" t="s">
        <v>96</v>
      </c>
      <c r="C28" s="10">
        <v>2.7187939303252557</v>
      </c>
      <c r="D28" s="10">
        <f t="shared" si="0"/>
        <v>2.7187939303252556E-2</v>
      </c>
      <c r="F28" s="11" t="s">
        <v>34</v>
      </c>
      <c r="G28" s="10">
        <v>-2.5030046864978872</v>
      </c>
      <c r="H28" s="12">
        <f t="shared" si="1"/>
        <v>-2.5030046864978873E-2</v>
      </c>
    </row>
    <row r="29" spans="2:8" x14ac:dyDescent="0.2">
      <c r="B29" s="9" t="s">
        <v>97</v>
      </c>
      <c r="C29" s="10">
        <v>2.6809664494920611</v>
      </c>
      <c r="D29" s="10">
        <f t="shared" si="0"/>
        <v>2.6809664494920612E-2</v>
      </c>
      <c r="F29" s="11" t="s">
        <v>35</v>
      </c>
      <c r="G29" s="10">
        <v>-2.4950477813923095</v>
      </c>
      <c r="H29" s="12">
        <f t="shared" si="1"/>
        <v>-2.4950477813923094E-2</v>
      </c>
    </row>
    <row r="30" spans="2:8" x14ac:dyDescent="0.2">
      <c r="B30" s="9" t="s">
        <v>98</v>
      </c>
      <c r="C30" s="10">
        <v>2.6409346567269854</v>
      </c>
      <c r="D30" s="10">
        <f t="shared" si="0"/>
        <v>2.6409346567269853E-2</v>
      </c>
      <c r="F30" s="11" t="s">
        <v>36</v>
      </c>
      <c r="G30" s="10">
        <v>-2.3917355855546796</v>
      </c>
      <c r="H30" s="12">
        <f t="shared" si="1"/>
        <v>-2.3917355855546794E-2</v>
      </c>
    </row>
    <row r="31" spans="2:8" x14ac:dyDescent="0.2">
      <c r="B31" s="9" t="s">
        <v>99</v>
      </c>
      <c r="C31" s="10">
        <v>2.5432508064299917</v>
      </c>
      <c r="D31" s="10">
        <f t="shared" si="0"/>
        <v>2.5432508064299916E-2</v>
      </c>
      <c r="F31" s="11" t="s">
        <v>37</v>
      </c>
      <c r="G31" s="10">
        <v>-2.3720434192695605</v>
      </c>
      <c r="H31" s="12">
        <f t="shared" si="1"/>
        <v>-2.3720434192695605E-2</v>
      </c>
    </row>
    <row r="32" spans="2:8" x14ac:dyDescent="0.2">
      <c r="B32" s="9" t="s">
        <v>100</v>
      </c>
      <c r="C32" s="10">
        <v>2.4041281311605101</v>
      </c>
      <c r="D32" s="10">
        <f t="shared" si="0"/>
        <v>2.4041281311605101E-2</v>
      </c>
      <c r="F32" s="11" t="s">
        <v>38</v>
      </c>
      <c r="G32" s="10">
        <v>-2.3455525958721712</v>
      </c>
      <c r="H32" s="12">
        <f t="shared" si="1"/>
        <v>-2.3455525958721711E-2</v>
      </c>
    </row>
    <row r="33" spans="2:8" x14ac:dyDescent="0.2">
      <c r="B33" s="9" t="s">
        <v>101</v>
      </c>
      <c r="C33" s="10">
        <v>2.3916356095522637</v>
      </c>
      <c r="D33" s="10">
        <f t="shared" si="0"/>
        <v>2.3916356095522638E-2</v>
      </c>
      <c r="F33" s="11" t="s">
        <v>39</v>
      </c>
      <c r="G33" s="10">
        <v>-2.2866895573398907</v>
      </c>
      <c r="H33" s="12">
        <f t="shared" si="1"/>
        <v>-2.2866895573398906E-2</v>
      </c>
    </row>
    <row r="34" spans="2:8" x14ac:dyDescent="0.2">
      <c r="B34" s="9" t="s">
        <v>102</v>
      </c>
      <c r="C34" s="10">
        <v>2.3033102552226299</v>
      </c>
      <c r="D34" s="10">
        <f t="shared" si="0"/>
        <v>2.3033102552226299E-2</v>
      </c>
      <c r="F34" s="11" t="s">
        <v>40</v>
      </c>
      <c r="G34" s="10">
        <v>-2.2422848980240557</v>
      </c>
      <c r="H34" s="12">
        <f t="shared" si="1"/>
        <v>-2.2422848980240558E-2</v>
      </c>
    </row>
    <row r="35" spans="2:8" x14ac:dyDescent="0.2">
      <c r="B35" s="9" t="s">
        <v>103</v>
      </c>
      <c r="C35" s="10">
        <v>2.2605761987862927</v>
      </c>
      <c r="D35" s="10">
        <f t="shared" si="0"/>
        <v>2.2605761987862925E-2</v>
      </c>
      <c r="F35" s="11" t="s">
        <v>41</v>
      </c>
      <c r="G35" s="10">
        <v>-2.2004985408639794</v>
      </c>
      <c r="H35" s="12">
        <f t="shared" si="1"/>
        <v>-2.2004985408639793E-2</v>
      </c>
    </row>
    <row r="36" spans="2:8" x14ac:dyDescent="0.2">
      <c r="B36" s="9" t="s">
        <v>104</v>
      </c>
      <c r="C36" s="10">
        <v>2.0950895939814607</v>
      </c>
      <c r="D36" s="10">
        <f t="shared" si="0"/>
        <v>2.0950895939814605E-2</v>
      </c>
      <c r="F36" s="11" t="s">
        <v>42</v>
      </c>
      <c r="G36" s="10">
        <v>-2.1038836536332797</v>
      </c>
      <c r="H36" s="12">
        <f t="shared" si="1"/>
        <v>-2.1038836536332796E-2</v>
      </c>
    </row>
    <row r="37" spans="2:8" x14ac:dyDescent="0.2">
      <c r="B37" s="9" t="s">
        <v>105</v>
      </c>
      <c r="C37" s="10">
        <v>2.0406048397746366</v>
      </c>
      <c r="D37" s="10">
        <f t="shared" si="0"/>
        <v>2.0406048397746367E-2</v>
      </c>
      <c r="F37" s="11" t="s">
        <v>43</v>
      </c>
      <c r="G37" s="10">
        <v>-2.0180739639787797</v>
      </c>
      <c r="H37" s="12">
        <f t="shared" si="1"/>
        <v>-2.0180739639787795E-2</v>
      </c>
    </row>
    <row r="38" spans="2:8" x14ac:dyDescent="0.2">
      <c r="B38" s="9" t="s">
        <v>106</v>
      </c>
      <c r="C38" s="10">
        <v>1.8995888328409045</v>
      </c>
      <c r="D38" s="10">
        <f t="shared" si="0"/>
        <v>1.8995888328409045E-2</v>
      </c>
      <c r="F38" s="11" t="s">
        <v>44</v>
      </c>
      <c r="G38" s="10">
        <v>-1.7971220988040524</v>
      </c>
      <c r="H38" s="12">
        <f t="shared" si="1"/>
        <v>-1.7971220988040524E-2</v>
      </c>
    </row>
    <row r="39" spans="2:8" x14ac:dyDescent="0.2">
      <c r="B39" s="9" t="s">
        <v>107</v>
      </c>
      <c r="C39" s="10">
        <v>1.7761936685728725</v>
      </c>
      <c r="D39" s="10">
        <f t="shared" si="0"/>
        <v>1.7761936685728726E-2</v>
      </c>
      <c r="F39" s="11" t="s">
        <v>45</v>
      </c>
      <c r="G39" s="10">
        <v>-1.7404444461107103</v>
      </c>
      <c r="H39" s="12">
        <f t="shared" si="1"/>
        <v>-1.7404444461107102E-2</v>
      </c>
    </row>
    <row r="40" spans="2:8" x14ac:dyDescent="0.2">
      <c r="B40" s="9" t="s">
        <v>108</v>
      </c>
      <c r="C40" s="10">
        <v>1.7027350005289228</v>
      </c>
      <c r="D40" s="10">
        <f t="shared" si="0"/>
        <v>1.7027350005289228E-2</v>
      </c>
      <c r="F40" s="11" t="s">
        <v>46</v>
      </c>
      <c r="G40" s="10">
        <v>-1.6860273057321093</v>
      </c>
      <c r="H40" s="12">
        <f t="shared" si="1"/>
        <v>-1.6860273057321094E-2</v>
      </c>
    </row>
    <row r="41" spans="2:8" x14ac:dyDescent="0.2">
      <c r="B41" s="9" t="s">
        <v>109</v>
      </c>
      <c r="C41" s="10">
        <v>1.2796350413276278</v>
      </c>
      <c r="D41" s="10">
        <f t="shared" si="0"/>
        <v>1.2796350413276279E-2</v>
      </c>
      <c r="F41" s="11" t="s">
        <v>47</v>
      </c>
      <c r="G41" s="10">
        <v>-1.6768660654297989</v>
      </c>
      <c r="H41" s="12">
        <f t="shared" si="1"/>
        <v>-1.6768660654297989E-2</v>
      </c>
    </row>
    <row r="42" spans="2:8" x14ac:dyDescent="0.2">
      <c r="B42" s="9" t="s">
        <v>110</v>
      </c>
      <c r="C42" s="10">
        <v>1.0959681448661063</v>
      </c>
      <c r="D42" s="10">
        <f t="shared" si="0"/>
        <v>1.0959681448661062E-2</v>
      </c>
      <c r="F42" s="11" t="s">
        <v>48</v>
      </c>
      <c r="G42" s="10">
        <v>-1.5780082917113729</v>
      </c>
      <c r="H42" s="12">
        <f t="shared" si="1"/>
        <v>-1.578008291711373E-2</v>
      </c>
    </row>
    <row r="43" spans="2:8" x14ac:dyDescent="0.2">
      <c r="B43" s="9" t="s">
        <v>111</v>
      </c>
      <c r="C43" s="10">
        <v>0.91552807501435485</v>
      </c>
      <c r="D43" s="10">
        <f t="shared" si="0"/>
        <v>9.155280750143548E-3</v>
      </c>
      <c r="F43" s="11" t="s">
        <v>49</v>
      </c>
      <c r="G43" s="10">
        <v>-1.4966184349352989</v>
      </c>
      <c r="H43" s="12">
        <f t="shared" ref="H43:H74" si="2">IF(F43="","",G43/100)</f>
        <v>-1.496618434935299E-2</v>
      </c>
    </row>
    <row r="44" spans="2:8" x14ac:dyDescent="0.2">
      <c r="B44" s="9" t="s">
        <v>112</v>
      </c>
      <c r="C44" s="10">
        <v>0.87235924622549432</v>
      </c>
      <c r="D44" s="10">
        <f t="shared" si="0"/>
        <v>8.7235924622549432E-3</v>
      </c>
      <c r="F44" s="11" t="s">
        <v>50</v>
      </c>
      <c r="G44" s="10">
        <v>-1.4711429747531979</v>
      </c>
      <c r="H44" s="12">
        <f t="shared" si="2"/>
        <v>-1.4711429747531979E-2</v>
      </c>
    </row>
    <row r="45" spans="2:8" x14ac:dyDescent="0.2">
      <c r="B45" s="9" t="s">
        <v>113</v>
      </c>
      <c r="C45" s="10">
        <v>0.80161459435984606</v>
      </c>
      <c r="D45" s="10">
        <f t="shared" si="0"/>
        <v>8.0161459435984603E-3</v>
      </c>
      <c r="F45" s="11" t="s">
        <v>51</v>
      </c>
      <c r="G45" s="10">
        <v>-1.458038876591176</v>
      </c>
      <c r="H45" s="12">
        <f t="shared" si="2"/>
        <v>-1.4580388765911761E-2</v>
      </c>
    </row>
    <row r="46" spans="2:8" x14ac:dyDescent="0.2">
      <c r="B46" s="9" t="s">
        <v>114</v>
      </c>
      <c r="C46" s="10">
        <v>0.54827879937659163</v>
      </c>
      <c r="D46" s="10">
        <f t="shared" si="0"/>
        <v>5.4827879937659162E-3</v>
      </c>
      <c r="F46" s="11" t="s">
        <v>52</v>
      </c>
      <c r="G46" s="10">
        <v>-1.3870569443397152</v>
      </c>
      <c r="H46" s="12">
        <f t="shared" si="2"/>
        <v>-1.3870569443397152E-2</v>
      </c>
    </row>
    <row r="47" spans="2:8" x14ac:dyDescent="0.2">
      <c r="B47" s="9" t="s">
        <v>115</v>
      </c>
      <c r="C47" s="10">
        <v>0.52653546359103776</v>
      </c>
      <c r="D47" s="10">
        <f t="shared" si="0"/>
        <v>5.2653546359103772E-3</v>
      </c>
      <c r="F47" s="11" t="s">
        <v>53</v>
      </c>
      <c r="G47" s="10">
        <v>-1.3723734746438416</v>
      </c>
      <c r="H47" s="12">
        <f t="shared" si="2"/>
        <v>-1.3723734746438416E-2</v>
      </c>
    </row>
    <row r="48" spans="2:8" x14ac:dyDescent="0.2">
      <c r="B48" s="9" t="s">
        <v>8</v>
      </c>
      <c r="C48" s="10">
        <v>0.5086438044303534</v>
      </c>
      <c r="D48" s="10">
        <f t="shared" si="0"/>
        <v>5.0864380443035343E-3</v>
      </c>
      <c r="F48" s="11" t="s">
        <v>54</v>
      </c>
      <c r="G48" s="10">
        <v>-1.3436569571637658</v>
      </c>
      <c r="H48" s="12">
        <f t="shared" si="2"/>
        <v>-1.3436569571637658E-2</v>
      </c>
    </row>
    <row r="49" spans="2:8" x14ac:dyDescent="0.2">
      <c r="B49" s="9"/>
      <c r="C49" s="11"/>
      <c r="D49" s="11"/>
      <c r="F49" s="11" t="s">
        <v>55</v>
      </c>
      <c r="G49" s="10">
        <v>-1.2440525418550425</v>
      </c>
      <c r="H49" s="12">
        <f t="shared" si="2"/>
        <v>-1.2440525418550426E-2</v>
      </c>
    </row>
    <row r="50" spans="2:8" x14ac:dyDescent="0.2">
      <c r="F50" s="11" t="s">
        <v>56</v>
      </c>
      <c r="G50" s="10">
        <v>-1.1840062613288505</v>
      </c>
      <c r="H50" s="12">
        <f t="shared" si="2"/>
        <v>-1.1840062613288505E-2</v>
      </c>
    </row>
    <row r="51" spans="2:8" x14ac:dyDescent="0.2">
      <c r="F51" s="11" t="s">
        <v>57</v>
      </c>
      <c r="G51" s="10">
        <v>-1.0002671278713637</v>
      </c>
      <c r="H51" s="12">
        <f t="shared" si="2"/>
        <v>-1.0002671278713637E-2</v>
      </c>
    </row>
    <row r="52" spans="2:8" x14ac:dyDescent="0.2">
      <c r="F52" s="11" t="s">
        <v>58</v>
      </c>
      <c r="G52" s="10">
        <v>-0.9459196239568739</v>
      </c>
      <c r="H52" s="12">
        <f t="shared" si="2"/>
        <v>-9.4591962395687394E-3</v>
      </c>
    </row>
    <row r="53" spans="2:8" x14ac:dyDescent="0.2">
      <c r="F53" s="11" t="s">
        <v>59</v>
      </c>
      <c r="G53" s="10">
        <v>-0.92470578535174563</v>
      </c>
      <c r="H53" s="12">
        <f t="shared" si="2"/>
        <v>-9.2470578535174559E-3</v>
      </c>
    </row>
    <row r="54" spans="2:8" x14ac:dyDescent="0.2">
      <c r="D54" s="1"/>
      <c r="F54" s="11" t="s">
        <v>60</v>
      </c>
      <c r="G54" s="10">
        <v>-0.91374020936421363</v>
      </c>
      <c r="H54" s="12">
        <f t="shared" si="2"/>
        <v>-9.1374020936421368E-3</v>
      </c>
    </row>
    <row r="55" spans="2:8" x14ac:dyDescent="0.2">
      <c r="D55" s="1"/>
      <c r="F55" s="11" t="s">
        <v>61</v>
      </c>
      <c r="G55" s="10">
        <v>-0.88606621620990911</v>
      </c>
      <c r="H55" s="12">
        <f t="shared" si="2"/>
        <v>-8.8606621620990911E-3</v>
      </c>
    </row>
    <row r="56" spans="2:8" x14ac:dyDescent="0.2">
      <c r="D56" s="1"/>
      <c r="F56" s="11" t="s">
        <v>62</v>
      </c>
      <c r="G56" s="10">
        <v>-0.85118947218790486</v>
      </c>
      <c r="H56" s="12">
        <f t="shared" si="2"/>
        <v>-8.5118947218790486E-3</v>
      </c>
    </row>
    <row r="57" spans="2:8" x14ac:dyDescent="0.2">
      <c r="D57" s="1"/>
      <c r="F57" s="11" t="s">
        <v>63</v>
      </c>
      <c r="G57" s="10">
        <v>-0.84885910669806452</v>
      </c>
      <c r="H57" s="12">
        <f t="shared" si="2"/>
        <v>-8.4885910669806452E-3</v>
      </c>
    </row>
    <row r="58" spans="2:8" x14ac:dyDescent="0.2">
      <c r="D58" s="1"/>
      <c r="F58" s="11" t="s">
        <v>64</v>
      </c>
      <c r="G58" s="10">
        <v>-0.84172281386665282</v>
      </c>
      <c r="H58" s="12">
        <f t="shared" si="2"/>
        <v>-8.4172281386665285E-3</v>
      </c>
    </row>
    <row r="59" spans="2:8" x14ac:dyDescent="0.2">
      <c r="D59" s="1"/>
      <c r="F59" s="11" t="s">
        <v>65</v>
      </c>
      <c r="G59" s="10">
        <v>-0.80320460287803819</v>
      </c>
      <c r="H59" s="12">
        <f t="shared" si="2"/>
        <v>-8.0320460287803819E-3</v>
      </c>
    </row>
    <row r="60" spans="2:8" x14ac:dyDescent="0.2">
      <c r="D60" s="1"/>
      <c r="F60" s="11" t="s">
        <v>66</v>
      </c>
      <c r="G60" s="10">
        <v>-0.78316461545734595</v>
      </c>
      <c r="H60" s="12">
        <f t="shared" si="2"/>
        <v>-7.8316461545734593E-3</v>
      </c>
    </row>
    <row r="61" spans="2:8" x14ac:dyDescent="0.2">
      <c r="D61" s="1"/>
      <c r="F61" s="11" t="s">
        <v>67</v>
      </c>
      <c r="G61" s="10">
        <v>-0.77703891819948889</v>
      </c>
      <c r="H61" s="12">
        <f t="shared" si="2"/>
        <v>-7.7703891819948887E-3</v>
      </c>
    </row>
    <row r="62" spans="2:8" x14ac:dyDescent="0.2">
      <c r="D62" s="1"/>
      <c r="F62" s="11" t="s">
        <v>68</v>
      </c>
      <c r="G62" s="10">
        <v>-0.74128160519666764</v>
      </c>
      <c r="H62" s="12">
        <f t="shared" si="2"/>
        <v>-7.4128160519666766E-3</v>
      </c>
    </row>
    <row r="63" spans="2:8" x14ac:dyDescent="0.2">
      <c r="D63" s="1"/>
      <c r="F63" s="11" t="s">
        <v>69</v>
      </c>
      <c r="G63" s="10">
        <v>-0.73504018427127416</v>
      </c>
      <c r="H63" s="12">
        <f t="shared" si="2"/>
        <v>-7.3504018427127419E-3</v>
      </c>
    </row>
    <row r="64" spans="2:8" x14ac:dyDescent="0.2">
      <c r="D64" s="1"/>
      <c r="F64" s="11" t="s">
        <v>70</v>
      </c>
      <c r="G64" s="10">
        <v>-0.66278148523870672</v>
      </c>
      <c r="H64" s="12">
        <f t="shared" si="2"/>
        <v>-6.6278148523870673E-3</v>
      </c>
    </row>
    <row r="65" spans="4:8" x14ac:dyDescent="0.2">
      <c r="D65" s="1"/>
      <c r="F65" s="11" t="s">
        <v>71</v>
      </c>
      <c r="G65" s="10">
        <v>-0.64423842481688998</v>
      </c>
      <c r="H65" s="12">
        <f t="shared" si="2"/>
        <v>-6.4423842481689001E-3</v>
      </c>
    </row>
    <row r="66" spans="4:8" x14ac:dyDescent="0.2">
      <c r="D66" s="1"/>
      <c r="F66" s="11" t="s">
        <v>72</v>
      </c>
      <c r="G66" s="10">
        <v>-0.51114862226544999</v>
      </c>
      <c r="H66" s="12">
        <f t="shared" si="2"/>
        <v>-5.1114862226545E-3</v>
      </c>
    </row>
    <row r="67" spans="4:8" x14ac:dyDescent="0.2">
      <c r="D67" s="1"/>
      <c r="F67" s="11" t="s">
        <v>73</v>
      </c>
      <c r="G67" s="10">
        <v>-0.50150101026930494</v>
      </c>
      <c r="H67" s="12">
        <f t="shared" si="2"/>
        <v>-5.0150101026930497E-3</v>
      </c>
    </row>
    <row r="68" spans="4:8" x14ac:dyDescent="0.2">
      <c r="D68" s="1"/>
      <c r="F68" s="11" t="s">
        <v>74</v>
      </c>
      <c r="G68" s="10">
        <v>-0.41729947289927372</v>
      </c>
      <c r="H68" s="12">
        <f t="shared" si="2"/>
        <v>-4.172994728992737E-3</v>
      </c>
    </row>
    <row r="69" spans="4:8" x14ac:dyDescent="0.2">
      <c r="D69" s="1"/>
      <c r="F69" s="11" t="s">
        <v>75</v>
      </c>
      <c r="G69" s="10">
        <v>-0.41190149113877106</v>
      </c>
      <c r="H69" s="12">
        <f t="shared" si="2"/>
        <v>-4.1190149113877108E-3</v>
      </c>
    </row>
    <row r="70" spans="4:8" x14ac:dyDescent="0.2">
      <c r="D70" s="1"/>
      <c r="F70" s="11" t="s">
        <v>76</v>
      </c>
      <c r="G70" s="10">
        <v>-0.40800382426986115</v>
      </c>
      <c r="H70" s="12">
        <f t="shared" si="2"/>
        <v>-4.0800382426986114E-3</v>
      </c>
    </row>
    <row r="71" spans="4:8" x14ac:dyDescent="0.2">
      <c r="D71" s="1"/>
      <c r="F71" s="11" t="s">
        <v>77</v>
      </c>
      <c r="G71" s="10">
        <v>-0.37745419605778052</v>
      </c>
      <c r="H71" s="12">
        <f t="shared" si="2"/>
        <v>-3.7745419605778054E-3</v>
      </c>
    </row>
    <row r="72" spans="4:8" x14ac:dyDescent="0.2">
      <c r="D72" s="1"/>
      <c r="F72" s="11" t="s">
        <v>78</v>
      </c>
      <c r="G72" s="10">
        <v>-0.28641687175955338</v>
      </c>
      <c r="H72" s="12">
        <f t="shared" si="2"/>
        <v>-2.8641687175955336E-3</v>
      </c>
    </row>
    <row r="73" spans="4:8" x14ac:dyDescent="0.2">
      <c r="D73" s="1"/>
      <c r="F73" s="11" t="s">
        <v>9</v>
      </c>
      <c r="G73" s="10">
        <v>-0.12149612588398988</v>
      </c>
      <c r="H73" s="12">
        <f t="shared" si="2"/>
        <v>-1.2149612588398988E-3</v>
      </c>
    </row>
    <row r="74" spans="4:8" x14ac:dyDescent="0.2">
      <c r="D74" s="1"/>
      <c r="F74" s="11"/>
      <c r="G74" s="11"/>
      <c r="H74" s="13"/>
    </row>
    <row r="75" spans="4:8" x14ac:dyDescent="0.2">
      <c r="D75" s="1"/>
    </row>
    <row r="76" spans="4:8" x14ac:dyDescent="0.2">
      <c r="D76" s="1"/>
    </row>
    <row r="77" spans="4:8" x14ac:dyDescent="0.2">
      <c r="D77" s="1"/>
      <c r="G77" t="s">
        <v>5</v>
      </c>
    </row>
    <row r="78" spans="4:8" x14ac:dyDescent="0.2">
      <c r="D78" s="1"/>
    </row>
    <row r="79" spans="4:8" x14ac:dyDescent="0.2">
      <c r="D79" s="1"/>
      <c r="H79" s="1"/>
    </row>
    <row r="80" spans="4:8" x14ac:dyDescent="0.2">
      <c r="D80" s="1"/>
      <c r="H80" s="1"/>
    </row>
    <row r="81" spans="4:8" x14ac:dyDescent="0.2">
      <c r="D81" s="1"/>
      <c r="H81" s="1"/>
    </row>
    <row r="82" spans="4:8" x14ac:dyDescent="0.2">
      <c r="D82" s="1"/>
      <c r="H82" s="1"/>
    </row>
    <row r="83" spans="4:8" x14ac:dyDescent="0.2">
      <c r="D83" s="1"/>
      <c r="H83" s="1"/>
    </row>
    <row r="84" spans="4:8" x14ac:dyDescent="0.2">
      <c r="D84" s="1"/>
      <c r="H84" s="1"/>
    </row>
    <row r="85" spans="4:8" x14ac:dyDescent="0.2">
      <c r="D85" s="1"/>
      <c r="H85" s="1"/>
    </row>
    <row r="86" spans="4:8" x14ac:dyDescent="0.2">
      <c r="D86" s="1"/>
      <c r="H86" s="1"/>
    </row>
    <row r="87" spans="4:8" x14ac:dyDescent="0.2">
      <c r="D87" s="1"/>
      <c r="H87" s="1"/>
    </row>
    <row r="88" spans="4:8" x14ac:dyDescent="0.2">
      <c r="D88" s="1"/>
      <c r="H88" s="1"/>
    </row>
    <row r="89" spans="4:8" x14ac:dyDescent="0.2">
      <c r="D89" s="1"/>
      <c r="H89" s="1"/>
    </row>
    <row r="90" spans="4:8" x14ac:dyDescent="0.2">
      <c r="D90" s="1"/>
      <c r="H90" s="1"/>
    </row>
    <row r="91" spans="4:8" x14ac:dyDescent="0.2">
      <c r="D91" s="1"/>
      <c r="H91" s="1"/>
    </row>
    <row r="92" spans="4:8" x14ac:dyDescent="0.2">
      <c r="D92" s="1"/>
      <c r="H92" s="1"/>
    </row>
    <row r="93" spans="4:8" x14ac:dyDescent="0.2">
      <c r="D93" s="1"/>
      <c r="H93" s="1"/>
    </row>
    <row r="94" spans="4:8" x14ac:dyDescent="0.2">
      <c r="D94" s="1"/>
      <c r="H94" s="1"/>
    </row>
    <row r="95" spans="4:8" x14ac:dyDescent="0.2">
      <c r="D95" s="1"/>
      <c r="H95" s="1"/>
    </row>
    <row r="96" spans="4:8" x14ac:dyDescent="0.2">
      <c r="D96" s="1"/>
      <c r="H96" s="1"/>
    </row>
    <row r="97" spans="4:8" x14ac:dyDescent="0.2">
      <c r="D97" s="1"/>
      <c r="H97" s="1"/>
    </row>
    <row r="98" spans="4:8" x14ac:dyDescent="0.2">
      <c r="D98" s="1"/>
      <c r="H98" s="1"/>
    </row>
    <row r="99" spans="4:8" x14ac:dyDescent="0.2">
      <c r="D99" s="1"/>
      <c r="H99" s="1"/>
    </row>
    <row r="100" spans="4:8" x14ac:dyDescent="0.2">
      <c r="D100" s="1"/>
      <c r="H100" s="1"/>
    </row>
    <row r="101" spans="4:8" x14ac:dyDescent="0.2">
      <c r="D101" s="1"/>
      <c r="H101" s="1"/>
    </row>
    <row r="102" spans="4:8" x14ac:dyDescent="0.2">
      <c r="D102" s="1"/>
      <c r="H102" s="1"/>
    </row>
    <row r="103" spans="4:8" x14ac:dyDescent="0.2">
      <c r="D103" s="1"/>
      <c r="H103" s="1"/>
    </row>
    <row r="104" spans="4:8" x14ac:dyDescent="0.2">
      <c r="D104" s="1"/>
      <c r="H104" s="1"/>
    </row>
    <row r="105" spans="4:8" x14ac:dyDescent="0.2">
      <c r="D105" s="1"/>
      <c r="H105" s="1"/>
    </row>
    <row r="106" spans="4:8" x14ac:dyDescent="0.2">
      <c r="D106" s="1"/>
      <c r="H106" s="1"/>
    </row>
    <row r="107" spans="4:8" x14ac:dyDescent="0.2">
      <c r="D107" s="1"/>
      <c r="H107" s="1"/>
    </row>
    <row r="108" spans="4:8" x14ac:dyDescent="0.2">
      <c r="D108" s="1"/>
      <c r="H108" s="1"/>
    </row>
    <row r="109" spans="4:8" x14ac:dyDescent="0.2">
      <c r="D109" s="1"/>
      <c r="H109" s="1"/>
    </row>
    <row r="110" spans="4:8" x14ac:dyDescent="0.2">
      <c r="D110" s="1"/>
      <c r="H110" s="1"/>
    </row>
    <row r="111" spans="4:8" x14ac:dyDescent="0.2">
      <c r="D111" s="1"/>
      <c r="H111" s="1"/>
    </row>
    <row r="112" spans="4:8" x14ac:dyDescent="0.2">
      <c r="D112" s="1"/>
      <c r="H112" s="1"/>
    </row>
    <row r="113" spans="4:8" x14ac:dyDescent="0.2">
      <c r="D113" s="1"/>
      <c r="H113" s="1"/>
    </row>
    <row r="114" spans="4:8" x14ac:dyDescent="0.2">
      <c r="D114" s="1"/>
      <c r="H114" s="1"/>
    </row>
    <row r="115" spans="4:8" x14ac:dyDescent="0.2">
      <c r="D115" s="1"/>
      <c r="H115" s="1"/>
    </row>
    <row r="116" spans="4:8" x14ac:dyDescent="0.2">
      <c r="D116" s="1"/>
      <c r="H116" s="1"/>
    </row>
    <row r="117" spans="4:8" x14ac:dyDescent="0.2">
      <c r="D117" s="1"/>
      <c r="H117" s="1"/>
    </row>
    <row r="118" spans="4:8" x14ac:dyDescent="0.2">
      <c r="D118" s="1"/>
      <c r="H118" s="1"/>
    </row>
    <row r="119" spans="4:8" x14ac:dyDescent="0.2">
      <c r="D119" s="1"/>
      <c r="H119" s="1"/>
    </row>
    <row r="120" spans="4:8" x14ac:dyDescent="0.2">
      <c r="D120" s="1"/>
      <c r="H120" s="1"/>
    </row>
    <row r="121" spans="4:8" x14ac:dyDescent="0.2">
      <c r="D121" s="1"/>
      <c r="H121" s="1"/>
    </row>
    <row r="122" spans="4:8" x14ac:dyDescent="0.2">
      <c r="D122" s="1"/>
      <c r="H122" s="1"/>
    </row>
    <row r="123" spans="4:8" x14ac:dyDescent="0.2">
      <c r="D123" s="1"/>
      <c r="H123" s="1"/>
    </row>
    <row r="124" spans="4:8" x14ac:dyDescent="0.2">
      <c r="D124" s="1"/>
      <c r="H124" s="1"/>
    </row>
    <row r="125" spans="4:8" x14ac:dyDescent="0.2">
      <c r="D125" s="1"/>
      <c r="H125" s="1"/>
    </row>
    <row r="126" spans="4:8" x14ac:dyDescent="0.2">
      <c r="D126" s="1"/>
      <c r="H126" s="1"/>
    </row>
    <row r="127" spans="4:8" x14ac:dyDescent="0.2">
      <c r="D127" s="1"/>
      <c r="H127" s="1"/>
    </row>
    <row r="128" spans="4:8" x14ac:dyDescent="0.2">
      <c r="D128" s="1"/>
      <c r="H128" s="1"/>
    </row>
    <row r="129" spans="4:8" x14ac:dyDescent="0.2">
      <c r="D129" s="1"/>
      <c r="H129" s="1"/>
    </row>
    <row r="130" spans="4:8" x14ac:dyDescent="0.2">
      <c r="D130" s="1"/>
      <c r="H130" s="1"/>
    </row>
    <row r="131" spans="4:8" x14ac:dyDescent="0.2">
      <c r="D131" s="1"/>
      <c r="H131" s="1"/>
    </row>
    <row r="132" spans="4:8" x14ac:dyDescent="0.2">
      <c r="D132" s="1"/>
      <c r="H132" s="1"/>
    </row>
    <row r="133" spans="4:8" x14ac:dyDescent="0.2">
      <c r="D133" s="1"/>
      <c r="H133" s="1"/>
    </row>
    <row r="134" spans="4:8" x14ac:dyDescent="0.2">
      <c r="D134" s="1"/>
      <c r="H134" s="1"/>
    </row>
    <row r="135" spans="4:8" x14ac:dyDescent="0.2">
      <c r="D135" s="1"/>
      <c r="H135" s="1"/>
    </row>
    <row r="136" spans="4:8" x14ac:dyDescent="0.2">
      <c r="D136" s="1"/>
      <c r="H136" s="1"/>
    </row>
    <row r="137" spans="4:8" x14ac:dyDescent="0.2">
      <c r="D137" s="1"/>
      <c r="H137" s="1"/>
    </row>
    <row r="138" spans="4:8" x14ac:dyDescent="0.2">
      <c r="D138" s="1"/>
      <c r="H138" s="1"/>
    </row>
    <row r="139" spans="4:8" x14ac:dyDescent="0.2">
      <c r="D139" s="1"/>
      <c r="H139" s="1"/>
    </row>
    <row r="140" spans="4:8" x14ac:dyDescent="0.2">
      <c r="D140" s="1"/>
      <c r="H140" s="1"/>
    </row>
    <row r="141" spans="4:8" x14ac:dyDescent="0.2">
      <c r="D141" s="1"/>
      <c r="H141" s="1"/>
    </row>
    <row r="142" spans="4:8" x14ac:dyDescent="0.2">
      <c r="D142" s="1"/>
      <c r="H142" s="1"/>
    </row>
    <row r="143" spans="4:8" x14ac:dyDescent="0.2">
      <c r="D143" s="1"/>
      <c r="H143" s="1"/>
    </row>
    <row r="144" spans="4:8" x14ac:dyDescent="0.2">
      <c r="D144" s="1"/>
      <c r="H144" s="1"/>
    </row>
    <row r="145" spans="4:8" x14ac:dyDescent="0.2">
      <c r="D145" s="1"/>
      <c r="H145" s="1"/>
    </row>
    <row r="146" spans="4:8" x14ac:dyDescent="0.2">
      <c r="D146" s="1"/>
      <c r="H146" s="1"/>
    </row>
    <row r="147" spans="4:8" x14ac:dyDescent="0.2">
      <c r="D147" s="1"/>
      <c r="H147" s="1"/>
    </row>
    <row r="148" spans="4:8" x14ac:dyDescent="0.2">
      <c r="D148" s="1"/>
      <c r="H148" s="1"/>
    </row>
    <row r="149" spans="4:8" x14ac:dyDescent="0.2">
      <c r="D149" s="1"/>
      <c r="H149" s="1"/>
    </row>
    <row r="150" spans="4:8" x14ac:dyDescent="0.2">
      <c r="D150" s="1"/>
      <c r="H150" s="1"/>
    </row>
    <row r="151" spans="4:8" x14ac:dyDescent="0.2">
      <c r="D151" s="1"/>
      <c r="H151" s="1"/>
    </row>
    <row r="152" spans="4:8" x14ac:dyDescent="0.2">
      <c r="D152" s="1"/>
      <c r="H152" s="1"/>
    </row>
    <row r="153" spans="4:8" x14ac:dyDescent="0.2">
      <c r="D153" s="1"/>
      <c r="H153" s="1"/>
    </row>
    <row r="154" spans="4:8" x14ac:dyDescent="0.2">
      <c r="D154" s="1"/>
      <c r="H154" s="1"/>
    </row>
    <row r="155" spans="4:8" x14ac:dyDescent="0.2">
      <c r="D155" s="1"/>
      <c r="H155" s="1"/>
    </row>
    <row r="156" spans="4:8" x14ac:dyDescent="0.2">
      <c r="D156" s="1"/>
      <c r="H156" s="1"/>
    </row>
    <row r="157" spans="4:8" x14ac:dyDescent="0.2">
      <c r="D157" s="1"/>
      <c r="H157" s="1"/>
    </row>
    <row r="158" spans="4:8" x14ac:dyDescent="0.2">
      <c r="D158" s="1"/>
      <c r="H158" s="1"/>
    </row>
    <row r="159" spans="4:8" x14ac:dyDescent="0.2">
      <c r="D159" s="1"/>
      <c r="H159" s="1"/>
    </row>
    <row r="160" spans="4:8" x14ac:dyDescent="0.2">
      <c r="D160" s="1"/>
      <c r="H160" s="1"/>
    </row>
    <row r="161" spans="4:8" x14ac:dyDescent="0.2">
      <c r="D161" s="1"/>
      <c r="H161" s="1"/>
    </row>
    <row r="162" spans="4:8" x14ac:dyDescent="0.2">
      <c r="D162" s="1"/>
      <c r="H162" s="1"/>
    </row>
    <row r="163" spans="4:8" x14ac:dyDescent="0.2">
      <c r="D163" s="1"/>
      <c r="H163" s="1"/>
    </row>
    <row r="164" spans="4:8" x14ac:dyDescent="0.2">
      <c r="D164" s="1"/>
      <c r="H164" s="1"/>
    </row>
    <row r="165" spans="4:8" x14ac:dyDescent="0.2">
      <c r="D165" s="1"/>
      <c r="H165" s="1"/>
    </row>
    <row r="166" spans="4:8" x14ac:dyDescent="0.2">
      <c r="D166" s="1"/>
      <c r="H166" s="1"/>
    </row>
    <row r="167" spans="4:8" x14ac:dyDescent="0.2">
      <c r="D167" s="1"/>
      <c r="H167" s="1"/>
    </row>
    <row r="168" spans="4:8" x14ac:dyDescent="0.2">
      <c r="D168" s="1"/>
      <c r="H168" s="1"/>
    </row>
    <row r="169" spans="4:8" x14ac:dyDescent="0.2">
      <c r="D169" s="1"/>
      <c r="H169" s="1"/>
    </row>
    <row r="170" spans="4:8" x14ac:dyDescent="0.2">
      <c r="D170" s="1"/>
      <c r="H170" s="1"/>
    </row>
    <row r="171" spans="4:8" x14ac:dyDescent="0.2">
      <c r="D171" s="1"/>
      <c r="H171" s="1"/>
    </row>
    <row r="172" spans="4:8" x14ac:dyDescent="0.2">
      <c r="D172" s="1"/>
      <c r="H172" s="1"/>
    </row>
    <row r="173" spans="4:8" x14ac:dyDescent="0.2">
      <c r="D173" s="1"/>
      <c r="H173" s="1"/>
    </row>
    <row r="174" spans="4:8" x14ac:dyDescent="0.2">
      <c r="D174" s="1"/>
      <c r="H174" s="1"/>
    </row>
    <row r="175" spans="4:8" x14ac:dyDescent="0.2">
      <c r="D175" s="1"/>
      <c r="H175" s="1"/>
    </row>
    <row r="176" spans="4:8" x14ac:dyDescent="0.2">
      <c r="D176" s="1"/>
      <c r="H176" s="1"/>
    </row>
    <row r="177" spans="4:8" x14ac:dyDescent="0.2">
      <c r="D177" s="1"/>
      <c r="H177" s="1"/>
    </row>
    <row r="178" spans="4:8" x14ac:dyDescent="0.2">
      <c r="H178" s="1"/>
    </row>
    <row r="179" spans="4:8" x14ac:dyDescent="0.2">
      <c r="H179" s="1"/>
    </row>
    <row r="180" spans="4:8" x14ac:dyDescent="0.2">
      <c r="H180" s="1"/>
    </row>
    <row r="181" spans="4:8" x14ac:dyDescent="0.2">
      <c r="H181" s="1"/>
    </row>
    <row r="182" spans="4:8" x14ac:dyDescent="0.2">
      <c r="H182" s="1"/>
    </row>
    <row r="183" spans="4:8" x14ac:dyDescent="0.2">
      <c r="H183" s="1"/>
    </row>
    <row r="184" spans="4:8" x14ac:dyDescent="0.2">
      <c r="H184" s="1"/>
    </row>
    <row r="185" spans="4:8" x14ac:dyDescent="0.2">
      <c r="H185" s="1"/>
    </row>
    <row r="186" spans="4:8" x14ac:dyDescent="0.2">
      <c r="H186" s="1"/>
    </row>
    <row r="187" spans="4:8" x14ac:dyDescent="0.2">
      <c r="H187" s="1"/>
    </row>
    <row r="188" spans="4:8" x14ac:dyDescent="0.2">
      <c r="H188" s="1"/>
    </row>
    <row r="189" spans="4:8" x14ac:dyDescent="0.2">
      <c r="H189" s="1"/>
    </row>
    <row r="190" spans="4:8" x14ac:dyDescent="0.2">
      <c r="H190" s="1"/>
    </row>
    <row r="191" spans="4:8" x14ac:dyDescent="0.2">
      <c r="H191" s="1"/>
    </row>
    <row r="192" spans="4:8" x14ac:dyDescent="0.2">
      <c r="H192" s="1"/>
    </row>
    <row r="193" spans="8:8" x14ac:dyDescent="0.2">
      <c r="H193" s="1"/>
    </row>
    <row r="194" spans="8:8" x14ac:dyDescent="0.2">
      <c r="H194" s="1"/>
    </row>
    <row r="195" spans="8:8" x14ac:dyDescent="0.2">
      <c r="H195" s="1"/>
    </row>
    <row r="196" spans="8:8" x14ac:dyDescent="0.2">
      <c r="H196" s="1"/>
    </row>
    <row r="197" spans="8:8" x14ac:dyDescent="0.2">
      <c r="H197" s="1"/>
    </row>
    <row r="198" spans="8:8" x14ac:dyDescent="0.2">
      <c r="H198" s="1"/>
    </row>
    <row r="199" spans="8:8" x14ac:dyDescent="0.2">
      <c r="H199" s="1"/>
    </row>
    <row r="200" spans="8:8" x14ac:dyDescent="0.2">
      <c r="H200" s="1"/>
    </row>
    <row r="201" spans="8:8" x14ac:dyDescent="0.2">
      <c r="H201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F19BB-E553-43BB-81C1-D22E0CC77CE4}">
  <dimension ref="A1:Q201"/>
  <sheetViews>
    <sheetView workbookViewId="0"/>
  </sheetViews>
  <sheetFormatPr baseColWidth="10" defaultColWidth="8.83203125" defaultRowHeight="15" x14ac:dyDescent="0.2"/>
  <cols>
    <col min="2" max="2" width="28.5" customWidth="1"/>
    <col min="3" max="3" width="0" hidden="1" customWidth="1"/>
    <col min="4" max="4" width="15.6640625" bestFit="1" customWidth="1"/>
    <col min="6" max="6" width="28.5" customWidth="1"/>
    <col min="7" max="7" width="0" hidden="1" customWidth="1"/>
    <col min="8" max="8" width="15.6640625" bestFit="1" customWidth="1"/>
    <col min="11" max="11" width="28.5" customWidth="1"/>
    <col min="12" max="12" width="15.6640625" hidden="1" customWidth="1"/>
    <col min="13" max="13" width="15.6640625" bestFit="1" customWidth="1"/>
    <col min="15" max="15" width="28.5" customWidth="1"/>
    <col min="16" max="16" width="15.6640625" hidden="1" customWidth="1"/>
    <col min="17" max="17" width="15.6640625" bestFit="1" customWidth="1"/>
  </cols>
  <sheetData>
    <row r="1" spans="1:17" ht="19" x14ac:dyDescent="0.25">
      <c r="A1" s="14" t="s">
        <v>0</v>
      </c>
    </row>
    <row r="2" spans="1:17" x14ac:dyDescent="0.2">
      <c r="A2" s="17" t="s">
        <v>12</v>
      </c>
    </row>
    <row r="3" spans="1:17" x14ac:dyDescent="0.2">
      <c r="A3" s="18" t="s">
        <v>6</v>
      </c>
    </row>
    <row r="4" spans="1:17" x14ac:dyDescent="0.2">
      <c r="A4" s="18" t="s">
        <v>7</v>
      </c>
    </row>
    <row r="6" spans="1:17" x14ac:dyDescent="0.2">
      <c r="B6" s="2" t="s">
        <v>3</v>
      </c>
      <c r="C6" s="2"/>
      <c r="D6" s="2"/>
      <c r="E6" s="2"/>
      <c r="F6" s="2" t="s">
        <v>4</v>
      </c>
      <c r="K6" s="2" t="s">
        <v>3</v>
      </c>
      <c r="O6" s="2" t="s">
        <v>4</v>
      </c>
    </row>
    <row r="7" spans="1:17" x14ac:dyDescent="0.2">
      <c r="K7" s="2"/>
      <c r="O7" s="2"/>
    </row>
    <row r="8" spans="1:17" ht="16" thickBot="1" x14ac:dyDescent="0.25"/>
    <row r="9" spans="1:17" ht="16" thickBot="1" x14ac:dyDescent="0.25">
      <c r="B9" s="3" t="s">
        <v>15</v>
      </c>
      <c r="C9" s="4"/>
      <c r="D9" s="4" t="s">
        <v>2</v>
      </c>
      <c r="E9" s="16"/>
      <c r="F9" s="4" t="s">
        <v>15</v>
      </c>
      <c r="G9" s="4"/>
      <c r="H9" s="5" t="s">
        <v>2</v>
      </c>
      <c r="I9" s="2"/>
      <c r="J9" s="2"/>
      <c r="K9" s="3" t="s">
        <v>15</v>
      </c>
      <c r="L9" s="4" t="s">
        <v>2</v>
      </c>
      <c r="M9" s="4" t="s">
        <v>2</v>
      </c>
      <c r="N9" s="4"/>
      <c r="O9" s="4" t="s">
        <v>15</v>
      </c>
      <c r="P9" s="5" t="s">
        <v>2</v>
      </c>
      <c r="Q9" s="5" t="s">
        <v>2</v>
      </c>
    </row>
    <row r="10" spans="1:17" x14ac:dyDescent="0.2">
      <c r="B10" s="6"/>
      <c r="C10" s="7"/>
      <c r="D10" s="7"/>
      <c r="E10" s="19"/>
      <c r="F10" s="7"/>
      <c r="G10" s="7"/>
      <c r="H10" s="8"/>
      <c r="K10" s="6"/>
      <c r="L10" s="7"/>
      <c r="M10" s="7"/>
      <c r="N10" s="15"/>
      <c r="O10" s="7"/>
      <c r="P10" s="7"/>
      <c r="Q10" s="8"/>
    </row>
    <row r="11" spans="1:17" x14ac:dyDescent="0.2">
      <c r="B11" s="9" t="s">
        <v>176</v>
      </c>
      <c r="C11" s="10">
        <v>10.114913123044515</v>
      </c>
      <c r="D11" s="10">
        <f t="shared" ref="D11:D50" si="0">IF(B11="","",(C11/100))</f>
        <v>0.10114913123044515</v>
      </c>
      <c r="F11" s="11" t="s">
        <v>16</v>
      </c>
      <c r="G11" s="10">
        <v>-7.0254505788774777</v>
      </c>
      <c r="H11" s="12">
        <f t="shared" ref="H11:H42" si="1">IF(F11="","",G11/100)</f>
        <v>-7.0254505788774776E-2</v>
      </c>
      <c r="K11" s="20" t="s">
        <v>11</v>
      </c>
      <c r="L11" s="11"/>
      <c r="M11" s="10" t="str">
        <f>IF(L11="","",L11/100)</f>
        <v/>
      </c>
      <c r="O11" s="21" t="s">
        <v>11</v>
      </c>
      <c r="P11" s="11"/>
      <c r="Q11" s="12" t="str">
        <f>IF(P11="","",P11/100)</f>
        <v/>
      </c>
    </row>
    <row r="12" spans="1:17" x14ac:dyDescent="0.2">
      <c r="B12" s="9" t="s">
        <v>177</v>
      </c>
      <c r="C12" s="10">
        <v>7.4234234046912162</v>
      </c>
      <c r="D12" s="10">
        <f t="shared" si="0"/>
        <v>7.4234234046912165E-2</v>
      </c>
      <c r="F12" s="11" t="s">
        <v>17</v>
      </c>
      <c r="G12" s="10">
        <v>-5.1423608203890385</v>
      </c>
      <c r="H12" s="12">
        <f t="shared" si="1"/>
        <v>-5.1423608203890386E-2</v>
      </c>
      <c r="K12" s="9"/>
      <c r="L12" s="11"/>
      <c r="M12" s="11"/>
      <c r="O12" s="11"/>
      <c r="P12" s="11"/>
      <c r="Q12" s="13"/>
    </row>
    <row r="13" spans="1:17" x14ac:dyDescent="0.2">
      <c r="B13" s="9" t="s">
        <v>178</v>
      </c>
      <c r="C13" s="10">
        <v>6.8676479221103426</v>
      </c>
      <c r="D13" s="10">
        <f t="shared" si="0"/>
        <v>6.8676479221103426E-2</v>
      </c>
      <c r="F13" s="11" t="s">
        <v>116</v>
      </c>
      <c r="G13" s="10">
        <v>-5.0438911761510656</v>
      </c>
      <c r="H13" s="12">
        <f t="shared" si="1"/>
        <v>-5.0438911761510656E-2</v>
      </c>
      <c r="I13" s="1"/>
    </row>
    <row r="14" spans="1:17" x14ac:dyDescent="0.2">
      <c r="B14" s="9" t="s">
        <v>179</v>
      </c>
      <c r="C14" s="10">
        <v>5.7637035126237404</v>
      </c>
      <c r="D14" s="10">
        <f t="shared" si="0"/>
        <v>5.7637035126237406E-2</v>
      </c>
      <c r="F14" s="11" t="s">
        <v>117</v>
      </c>
      <c r="G14" s="10">
        <v>-4.7271739906737658</v>
      </c>
      <c r="H14" s="12">
        <f t="shared" si="1"/>
        <v>-4.7271739906737657E-2</v>
      </c>
      <c r="I14" s="1"/>
    </row>
    <row r="15" spans="1:17" x14ac:dyDescent="0.2">
      <c r="B15" s="9" t="s">
        <v>180</v>
      </c>
      <c r="C15" s="10">
        <v>5.0984983719649195</v>
      </c>
      <c r="D15" s="10">
        <f t="shared" si="0"/>
        <v>5.0984983719649192E-2</v>
      </c>
      <c r="F15" s="11" t="s">
        <v>118</v>
      </c>
      <c r="G15" s="10">
        <v>-4.6162214322468786</v>
      </c>
      <c r="H15" s="12">
        <f t="shared" si="1"/>
        <v>-4.6162214322468788E-2</v>
      </c>
      <c r="I15" s="1"/>
    </row>
    <row r="16" spans="1:17" x14ac:dyDescent="0.2">
      <c r="B16" s="9" t="s">
        <v>181</v>
      </c>
      <c r="C16" s="10">
        <v>4.8088529399076929</v>
      </c>
      <c r="D16" s="10">
        <f t="shared" si="0"/>
        <v>4.8088529399076929E-2</v>
      </c>
      <c r="F16" s="11" t="s">
        <v>119</v>
      </c>
      <c r="G16" s="10">
        <v>-4.0816463521898836</v>
      </c>
      <c r="H16" s="12">
        <f t="shared" si="1"/>
        <v>-4.0816463521898834E-2</v>
      </c>
      <c r="I16" s="1"/>
    </row>
    <row r="17" spans="2:8" x14ac:dyDescent="0.2">
      <c r="B17" s="9" t="s">
        <v>182</v>
      </c>
      <c r="C17" s="10">
        <v>4.4356524193573295</v>
      </c>
      <c r="D17" s="10">
        <f t="shared" si="0"/>
        <v>4.4356524193573298E-2</v>
      </c>
      <c r="F17" s="11" t="s">
        <v>120</v>
      </c>
      <c r="G17" s="10">
        <v>-3.7471572765923411</v>
      </c>
      <c r="H17" s="12">
        <f t="shared" si="1"/>
        <v>-3.747157276592341E-2</v>
      </c>
    </row>
    <row r="18" spans="2:8" x14ac:dyDescent="0.2">
      <c r="B18" s="9" t="s">
        <v>183</v>
      </c>
      <c r="C18" s="10">
        <v>4.0626808900841747</v>
      </c>
      <c r="D18" s="10">
        <f t="shared" si="0"/>
        <v>4.0626808900841749E-2</v>
      </c>
      <c r="F18" s="11" t="s">
        <v>121</v>
      </c>
      <c r="G18" s="10">
        <v>-3.6985352047410642</v>
      </c>
      <c r="H18" s="12">
        <f t="shared" si="1"/>
        <v>-3.6985352047410644E-2</v>
      </c>
    </row>
    <row r="19" spans="2:8" x14ac:dyDescent="0.2">
      <c r="B19" s="9" t="s">
        <v>184</v>
      </c>
      <c r="C19" s="10">
        <v>3.9255443710187592</v>
      </c>
      <c r="D19" s="10">
        <f t="shared" si="0"/>
        <v>3.925544371018759E-2</v>
      </c>
      <c r="F19" s="11" t="s">
        <v>122</v>
      </c>
      <c r="G19" s="10">
        <v>-3.5731192105080143</v>
      </c>
      <c r="H19" s="12">
        <f t="shared" si="1"/>
        <v>-3.5731192105080141E-2</v>
      </c>
    </row>
    <row r="20" spans="2:8" x14ac:dyDescent="0.2">
      <c r="B20" s="9" t="s">
        <v>185</v>
      </c>
      <c r="C20" s="10">
        <v>3.7466845055356335</v>
      </c>
      <c r="D20" s="10">
        <f t="shared" si="0"/>
        <v>3.7466845055356336E-2</v>
      </c>
      <c r="F20" s="11" t="s">
        <v>123</v>
      </c>
      <c r="G20" s="10">
        <v>-3.4767550578903101</v>
      </c>
      <c r="H20" s="12">
        <f t="shared" si="1"/>
        <v>-3.47675505789031E-2</v>
      </c>
    </row>
    <row r="21" spans="2:8" x14ac:dyDescent="0.2">
      <c r="B21" s="9" t="s">
        <v>186</v>
      </c>
      <c r="C21" s="10">
        <v>3.621485491156577</v>
      </c>
      <c r="D21" s="10">
        <f t="shared" si="0"/>
        <v>3.6214854911565772E-2</v>
      </c>
      <c r="F21" s="11" t="s">
        <v>124</v>
      </c>
      <c r="G21" s="10">
        <v>-3.3787963458236683</v>
      </c>
      <c r="H21" s="12">
        <f t="shared" si="1"/>
        <v>-3.3787963458236682E-2</v>
      </c>
    </row>
    <row r="22" spans="2:8" x14ac:dyDescent="0.2">
      <c r="B22" s="9" t="s">
        <v>187</v>
      </c>
      <c r="C22" s="10">
        <v>3.5857433479229086</v>
      </c>
      <c r="D22" s="10">
        <f t="shared" si="0"/>
        <v>3.5857433479229088E-2</v>
      </c>
      <c r="F22" s="11" t="s">
        <v>125</v>
      </c>
      <c r="G22" s="10">
        <v>-3.2867573111023902</v>
      </c>
      <c r="H22" s="12">
        <f t="shared" si="1"/>
        <v>-3.2867573111023902E-2</v>
      </c>
    </row>
    <row r="23" spans="2:8" x14ac:dyDescent="0.2">
      <c r="B23" s="9" t="s">
        <v>188</v>
      </c>
      <c r="C23" s="10">
        <v>3.4417504543854469</v>
      </c>
      <c r="D23" s="10">
        <f t="shared" si="0"/>
        <v>3.441750454385447E-2</v>
      </c>
      <c r="F23" s="11" t="s">
        <v>126</v>
      </c>
      <c r="G23" s="10">
        <v>-2.9874661452109144</v>
      </c>
      <c r="H23" s="12">
        <f t="shared" si="1"/>
        <v>-2.9874661452109142E-2</v>
      </c>
    </row>
    <row r="24" spans="2:8" x14ac:dyDescent="0.2">
      <c r="B24" s="9" t="s">
        <v>189</v>
      </c>
      <c r="C24" s="10">
        <v>3.2804380186953459</v>
      </c>
      <c r="D24" s="10">
        <f t="shared" si="0"/>
        <v>3.2804380186953461E-2</v>
      </c>
      <c r="F24" s="11" t="s">
        <v>127</v>
      </c>
      <c r="G24" s="10">
        <v>-2.9113669260193382</v>
      </c>
      <c r="H24" s="12">
        <f t="shared" si="1"/>
        <v>-2.9113669260193382E-2</v>
      </c>
    </row>
    <row r="25" spans="2:8" x14ac:dyDescent="0.2">
      <c r="B25" s="9" t="s">
        <v>190</v>
      </c>
      <c r="C25" s="10">
        <v>3.2750090472635747</v>
      </c>
      <c r="D25" s="10">
        <f t="shared" si="0"/>
        <v>3.2750090472635746E-2</v>
      </c>
      <c r="F25" s="11" t="s">
        <v>128</v>
      </c>
      <c r="G25" s="10">
        <v>-2.873761068289765</v>
      </c>
      <c r="H25" s="12">
        <f t="shared" si="1"/>
        <v>-2.8737610682897648E-2</v>
      </c>
    </row>
    <row r="26" spans="2:8" x14ac:dyDescent="0.2">
      <c r="B26" s="9" t="s">
        <v>191</v>
      </c>
      <c r="C26" s="10">
        <v>2.8824728500031798</v>
      </c>
      <c r="D26" s="10">
        <f t="shared" si="0"/>
        <v>2.8824728500031798E-2</v>
      </c>
      <c r="F26" s="11" t="s">
        <v>129</v>
      </c>
      <c r="G26" s="10">
        <v>-2.6738666363436119</v>
      </c>
      <c r="H26" s="12">
        <f t="shared" si="1"/>
        <v>-2.6738666363436119E-2</v>
      </c>
    </row>
    <row r="27" spans="2:8" x14ac:dyDescent="0.2">
      <c r="B27" s="9" t="s">
        <v>192</v>
      </c>
      <c r="C27" s="10">
        <v>2.7187939303252557</v>
      </c>
      <c r="D27" s="10">
        <f t="shared" si="0"/>
        <v>2.7187939303252556E-2</v>
      </c>
      <c r="F27" s="11" t="s">
        <v>130</v>
      </c>
      <c r="G27" s="10">
        <v>-2.5441864922387301</v>
      </c>
      <c r="H27" s="12">
        <f t="shared" si="1"/>
        <v>-2.54418649223873E-2</v>
      </c>
    </row>
    <row r="28" spans="2:8" x14ac:dyDescent="0.2">
      <c r="B28" s="9" t="s">
        <v>193</v>
      </c>
      <c r="C28" s="10">
        <v>2.6809664494920611</v>
      </c>
      <c r="D28" s="10">
        <f t="shared" si="0"/>
        <v>2.6809664494920612E-2</v>
      </c>
      <c r="F28" s="11" t="s">
        <v>131</v>
      </c>
      <c r="G28" s="10">
        <v>-2.5030046864978872</v>
      </c>
      <c r="H28" s="12">
        <f t="shared" si="1"/>
        <v>-2.5030046864978873E-2</v>
      </c>
    </row>
    <row r="29" spans="2:8" x14ac:dyDescent="0.2">
      <c r="B29" s="9" t="s">
        <v>194</v>
      </c>
      <c r="C29" s="10">
        <v>2.6409346567269854</v>
      </c>
      <c r="D29" s="10">
        <f t="shared" si="0"/>
        <v>2.6409346567269853E-2</v>
      </c>
      <c r="F29" s="11" t="s">
        <v>132</v>
      </c>
      <c r="G29" s="10">
        <v>-2.4950477813923095</v>
      </c>
      <c r="H29" s="12">
        <f t="shared" si="1"/>
        <v>-2.4950477813923094E-2</v>
      </c>
    </row>
    <row r="30" spans="2:8" x14ac:dyDescent="0.2">
      <c r="B30" s="9" t="s">
        <v>195</v>
      </c>
      <c r="C30" s="10">
        <v>2.5432508064299917</v>
      </c>
      <c r="D30" s="10">
        <f t="shared" si="0"/>
        <v>2.5432508064299916E-2</v>
      </c>
      <c r="F30" s="11" t="s">
        <v>133</v>
      </c>
      <c r="G30" s="10">
        <v>-2.3917355855546796</v>
      </c>
      <c r="H30" s="12">
        <f t="shared" si="1"/>
        <v>-2.3917355855546794E-2</v>
      </c>
    </row>
    <row r="31" spans="2:8" x14ac:dyDescent="0.2">
      <c r="B31" s="9" t="s">
        <v>196</v>
      </c>
      <c r="C31" s="10">
        <v>2.5127136277036066</v>
      </c>
      <c r="D31" s="10">
        <f t="shared" si="0"/>
        <v>2.5127136277036066E-2</v>
      </c>
      <c r="F31" s="11" t="s">
        <v>134</v>
      </c>
      <c r="G31" s="10">
        <v>-2.3720434192695605</v>
      </c>
      <c r="H31" s="12">
        <f t="shared" si="1"/>
        <v>-2.3720434192695605E-2</v>
      </c>
    </row>
    <row r="32" spans="2:8" x14ac:dyDescent="0.2">
      <c r="B32" s="9" t="s">
        <v>197</v>
      </c>
      <c r="C32" s="10">
        <v>2.4041281311605101</v>
      </c>
      <c r="D32" s="10">
        <f t="shared" si="0"/>
        <v>2.4041281311605101E-2</v>
      </c>
      <c r="F32" s="11" t="s">
        <v>135</v>
      </c>
      <c r="G32" s="10">
        <v>-2.3455525958721712</v>
      </c>
      <c r="H32" s="12">
        <f t="shared" si="1"/>
        <v>-2.3455525958721711E-2</v>
      </c>
    </row>
    <row r="33" spans="2:8" x14ac:dyDescent="0.2">
      <c r="B33" s="9" t="s">
        <v>198</v>
      </c>
      <c r="C33" s="10">
        <v>2.3916356095522637</v>
      </c>
      <c r="D33" s="10">
        <f t="shared" si="0"/>
        <v>2.3916356095522638E-2</v>
      </c>
      <c r="F33" s="11" t="s">
        <v>136</v>
      </c>
      <c r="G33" s="10">
        <v>-2.2866895573398907</v>
      </c>
      <c r="H33" s="12">
        <f t="shared" si="1"/>
        <v>-2.2866895573398906E-2</v>
      </c>
    </row>
    <row r="34" spans="2:8" x14ac:dyDescent="0.2">
      <c r="B34" s="9" t="s">
        <v>199</v>
      </c>
      <c r="C34" s="10">
        <v>2.3033102552226299</v>
      </c>
      <c r="D34" s="10">
        <f t="shared" si="0"/>
        <v>2.3033102552226299E-2</v>
      </c>
      <c r="F34" s="11" t="s">
        <v>137</v>
      </c>
      <c r="G34" s="10">
        <v>-2.2422848980240557</v>
      </c>
      <c r="H34" s="12">
        <f t="shared" si="1"/>
        <v>-2.2422848980240558E-2</v>
      </c>
    </row>
    <row r="35" spans="2:8" x14ac:dyDescent="0.2">
      <c r="B35" s="9" t="s">
        <v>200</v>
      </c>
      <c r="C35" s="10">
        <v>2.2605761987862927</v>
      </c>
      <c r="D35" s="10">
        <f t="shared" si="0"/>
        <v>2.2605761987862925E-2</v>
      </c>
      <c r="F35" s="11" t="s">
        <v>138</v>
      </c>
      <c r="G35" s="10">
        <v>-2.2004985408639794</v>
      </c>
      <c r="H35" s="12">
        <f t="shared" si="1"/>
        <v>-2.2004985408639793E-2</v>
      </c>
    </row>
    <row r="36" spans="2:8" x14ac:dyDescent="0.2">
      <c r="B36" s="9" t="s">
        <v>201</v>
      </c>
      <c r="C36" s="10">
        <v>2.0950895939814607</v>
      </c>
      <c r="D36" s="10">
        <f t="shared" si="0"/>
        <v>2.0950895939814605E-2</v>
      </c>
      <c r="F36" s="11" t="s">
        <v>139</v>
      </c>
      <c r="G36" s="10">
        <v>-2.1038836536332797</v>
      </c>
      <c r="H36" s="12">
        <f t="shared" si="1"/>
        <v>-2.1038836536332796E-2</v>
      </c>
    </row>
    <row r="37" spans="2:8" x14ac:dyDescent="0.2">
      <c r="B37" s="9" t="s">
        <v>202</v>
      </c>
      <c r="C37" s="10">
        <v>2.0406048397746366</v>
      </c>
      <c r="D37" s="10">
        <f t="shared" si="0"/>
        <v>2.0406048397746367E-2</v>
      </c>
      <c r="F37" s="11" t="s">
        <v>140</v>
      </c>
      <c r="G37" s="10">
        <v>-2.0180739639787797</v>
      </c>
      <c r="H37" s="12">
        <f t="shared" si="1"/>
        <v>-2.0180739639787795E-2</v>
      </c>
    </row>
    <row r="38" spans="2:8" x14ac:dyDescent="0.2">
      <c r="B38" s="9" t="s">
        <v>203</v>
      </c>
      <c r="C38" s="10">
        <v>1.8995888328409045</v>
      </c>
      <c r="D38" s="10">
        <f t="shared" si="0"/>
        <v>1.8995888328409045E-2</v>
      </c>
      <c r="F38" s="11" t="s">
        <v>141</v>
      </c>
      <c r="G38" s="10">
        <v>-1.7971220988040524</v>
      </c>
      <c r="H38" s="12">
        <f t="shared" si="1"/>
        <v>-1.7971220988040524E-2</v>
      </c>
    </row>
    <row r="39" spans="2:8" x14ac:dyDescent="0.2">
      <c r="B39" s="9" t="s">
        <v>204</v>
      </c>
      <c r="C39" s="10">
        <v>1.7761936685728725</v>
      </c>
      <c r="D39" s="10">
        <f t="shared" si="0"/>
        <v>1.7761936685728726E-2</v>
      </c>
      <c r="F39" s="11" t="s">
        <v>142</v>
      </c>
      <c r="G39" s="10">
        <v>-1.7404444461107103</v>
      </c>
      <c r="H39" s="12">
        <f t="shared" si="1"/>
        <v>-1.7404444461107102E-2</v>
      </c>
    </row>
    <row r="40" spans="2:8" x14ac:dyDescent="0.2">
      <c r="B40" s="9" t="s">
        <v>205</v>
      </c>
      <c r="C40" s="10">
        <v>1.7027350005289228</v>
      </c>
      <c r="D40" s="10">
        <f t="shared" si="0"/>
        <v>1.7027350005289228E-2</v>
      </c>
      <c r="F40" s="11" t="s">
        <v>143</v>
      </c>
      <c r="G40" s="10">
        <v>-1.6860273057321093</v>
      </c>
      <c r="H40" s="12">
        <f t="shared" si="1"/>
        <v>-1.6860273057321094E-2</v>
      </c>
    </row>
    <row r="41" spans="2:8" x14ac:dyDescent="0.2">
      <c r="B41" s="9" t="s">
        <v>206</v>
      </c>
      <c r="C41" s="10">
        <v>1.70069237158685</v>
      </c>
      <c r="D41" s="10">
        <f t="shared" si="0"/>
        <v>1.70069237158685E-2</v>
      </c>
      <c r="F41" s="11" t="s">
        <v>144</v>
      </c>
      <c r="G41" s="10">
        <v>-1.6768660654297989</v>
      </c>
      <c r="H41" s="12">
        <f t="shared" si="1"/>
        <v>-1.6768660654297989E-2</v>
      </c>
    </row>
    <row r="42" spans="2:8" x14ac:dyDescent="0.2">
      <c r="B42" s="9" t="s">
        <v>207</v>
      </c>
      <c r="C42" s="10">
        <v>1.2796350413276278</v>
      </c>
      <c r="D42" s="10">
        <f t="shared" si="0"/>
        <v>1.2796350413276279E-2</v>
      </c>
      <c r="F42" s="11" t="s">
        <v>145</v>
      </c>
      <c r="G42" s="10">
        <v>-1.5780082917113729</v>
      </c>
      <c r="H42" s="12">
        <f t="shared" si="1"/>
        <v>-1.578008291711373E-2</v>
      </c>
    </row>
    <row r="43" spans="2:8" x14ac:dyDescent="0.2">
      <c r="B43" s="9" t="s">
        <v>208</v>
      </c>
      <c r="C43" s="10">
        <v>1.0959681448661063</v>
      </c>
      <c r="D43" s="10">
        <f t="shared" si="0"/>
        <v>1.0959681448661062E-2</v>
      </c>
      <c r="F43" s="11" t="s">
        <v>146</v>
      </c>
      <c r="G43" s="10">
        <v>-1.4966184349352989</v>
      </c>
      <c r="H43" s="12">
        <f t="shared" ref="H43:H74" si="2">IF(F43="","",G43/100)</f>
        <v>-1.496618434935299E-2</v>
      </c>
    </row>
    <row r="44" spans="2:8" x14ac:dyDescent="0.2">
      <c r="B44" s="9" t="s">
        <v>209</v>
      </c>
      <c r="C44" s="10">
        <v>0.91552807501435485</v>
      </c>
      <c r="D44" s="10">
        <f t="shared" si="0"/>
        <v>9.155280750143548E-3</v>
      </c>
      <c r="F44" s="11" t="s">
        <v>147</v>
      </c>
      <c r="G44" s="10">
        <v>-1.4711429747531979</v>
      </c>
      <c r="H44" s="12">
        <f t="shared" si="2"/>
        <v>-1.4711429747531979E-2</v>
      </c>
    </row>
    <row r="45" spans="2:8" x14ac:dyDescent="0.2">
      <c r="B45" s="9" t="s">
        <v>210</v>
      </c>
      <c r="C45" s="10">
        <v>0.87235924622549432</v>
      </c>
      <c r="D45" s="10">
        <f t="shared" si="0"/>
        <v>8.7235924622549432E-3</v>
      </c>
      <c r="F45" s="11" t="s">
        <v>148</v>
      </c>
      <c r="G45" s="10">
        <v>-1.458038876591176</v>
      </c>
      <c r="H45" s="12">
        <f t="shared" si="2"/>
        <v>-1.4580388765911761E-2</v>
      </c>
    </row>
    <row r="46" spans="2:8" x14ac:dyDescent="0.2">
      <c r="B46" s="9" t="s">
        <v>211</v>
      </c>
      <c r="C46" s="10">
        <v>0.80161459435984606</v>
      </c>
      <c r="D46" s="10">
        <f t="shared" si="0"/>
        <v>8.0161459435984603E-3</v>
      </c>
      <c r="F46" s="11" t="s">
        <v>149</v>
      </c>
      <c r="G46" s="10">
        <v>-1.3870569443397152</v>
      </c>
      <c r="H46" s="12">
        <f t="shared" si="2"/>
        <v>-1.3870569443397152E-2</v>
      </c>
    </row>
    <row r="47" spans="2:8" x14ac:dyDescent="0.2">
      <c r="B47" s="9" t="s">
        <v>212</v>
      </c>
      <c r="C47" s="10">
        <v>0.54827879937659163</v>
      </c>
      <c r="D47" s="10">
        <f t="shared" si="0"/>
        <v>5.4827879937659162E-3</v>
      </c>
      <c r="F47" s="11" t="s">
        <v>150</v>
      </c>
      <c r="G47" s="10">
        <v>-1.3723734746438416</v>
      </c>
      <c r="H47" s="12">
        <f t="shared" si="2"/>
        <v>-1.3723734746438416E-2</v>
      </c>
    </row>
    <row r="48" spans="2:8" x14ac:dyDescent="0.2">
      <c r="B48" s="9" t="s">
        <v>213</v>
      </c>
      <c r="C48" s="10">
        <v>0.52653546359103776</v>
      </c>
      <c r="D48" s="10">
        <f t="shared" si="0"/>
        <v>5.2653546359103772E-3</v>
      </c>
      <c r="F48" s="11" t="s">
        <v>151</v>
      </c>
      <c r="G48" s="10">
        <v>-1.3436569571637658</v>
      </c>
      <c r="H48" s="12">
        <f t="shared" si="2"/>
        <v>-1.3436569571637658E-2</v>
      </c>
    </row>
    <row r="49" spans="2:8" x14ac:dyDescent="0.2">
      <c r="B49" s="9" t="s">
        <v>214</v>
      </c>
      <c r="C49" s="10">
        <v>0.5086438044303534</v>
      </c>
      <c r="D49" s="10">
        <f t="shared" si="0"/>
        <v>5.0864380443035343E-3</v>
      </c>
      <c r="F49" s="11" t="s">
        <v>152</v>
      </c>
      <c r="G49" s="10">
        <v>-1.2440525418550425</v>
      </c>
      <c r="H49" s="12">
        <f t="shared" si="2"/>
        <v>-1.2440525418550426E-2</v>
      </c>
    </row>
    <row r="50" spans="2:8" x14ac:dyDescent="0.2">
      <c r="B50" s="9" t="s">
        <v>13</v>
      </c>
      <c r="C50" s="10">
        <v>0.32731868690403498</v>
      </c>
      <c r="D50" s="10">
        <f t="shared" si="0"/>
        <v>3.2731868690403496E-3</v>
      </c>
      <c r="F50" s="11" t="s">
        <v>153</v>
      </c>
      <c r="G50" s="10">
        <v>-1.1840062613288505</v>
      </c>
      <c r="H50" s="12">
        <f t="shared" si="2"/>
        <v>-1.1840062613288505E-2</v>
      </c>
    </row>
    <row r="51" spans="2:8" x14ac:dyDescent="0.2">
      <c r="B51" s="9"/>
      <c r="C51" s="11"/>
      <c r="D51" s="11"/>
      <c r="F51" s="11" t="s">
        <v>154</v>
      </c>
      <c r="G51" s="10">
        <v>-1.0002671278713637</v>
      </c>
      <c r="H51" s="12">
        <f t="shared" si="2"/>
        <v>-1.0002671278713637E-2</v>
      </c>
    </row>
    <row r="52" spans="2:8" x14ac:dyDescent="0.2">
      <c r="F52" s="11" t="s">
        <v>155</v>
      </c>
      <c r="G52" s="10">
        <v>-0.9459196239568739</v>
      </c>
      <c r="H52" s="12">
        <f t="shared" si="2"/>
        <v>-9.4591962395687394E-3</v>
      </c>
    </row>
    <row r="53" spans="2:8" x14ac:dyDescent="0.2">
      <c r="F53" s="11" t="s">
        <v>156</v>
      </c>
      <c r="G53" s="10">
        <v>-0.92470578535174563</v>
      </c>
      <c r="H53" s="12">
        <f t="shared" si="2"/>
        <v>-9.2470578535174559E-3</v>
      </c>
    </row>
    <row r="54" spans="2:8" x14ac:dyDescent="0.2">
      <c r="F54" s="11" t="s">
        <v>157</v>
      </c>
      <c r="G54" s="10">
        <v>-0.91374020936421363</v>
      </c>
      <c r="H54" s="12">
        <f t="shared" si="2"/>
        <v>-9.1374020936421368E-3</v>
      </c>
    </row>
    <row r="55" spans="2:8" x14ac:dyDescent="0.2">
      <c r="F55" s="11" t="s">
        <v>158</v>
      </c>
      <c r="G55" s="10">
        <v>-0.88606621620990911</v>
      </c>
      <c r="H55" s="12">
        <f t="shared" si="2"/>
        <v>-8.8606621620990911E-3</v>
      </c>
    </row>
    <row r="56" spans="2:8" x14ac:dyDescent="0.2">
      <c r="D56" s="1"/>
      <c r="F56" s="11" t="s">
        <v>159</v>
      </c>
      <c r="G56" s="10">
        <v>-0.85118947218790486</v>
      </c>
      <c r="H56" s="12">
        <f t="shared" si="2"/>
        <v>-8.5118947218790486E-3</v>
      </c>
    </row>
    <row r="57" spans="2:8" x14ac:dyDescent="0.2">
      <c r="D57" s="1"/>
      <c r="F57" s="11" t="s">
        <v>160</v>
      </c>
      <c r="G57" s="10">
        <v>-0.84885910669806452</v>
      </c>
      <c r="H57" s="12">
        <f t="shared" si="2"/>
        <v>-8.4885910669806452E-3</v>
      </c>
    </row>
    <row r="58" spans="2:8" x14ac:dyDescent="0.2">
      <c r="D58" s="1"/>
      <c r="F58" s="11" t="s">
        <v>161</v>
      </c>
      <c r="G58" s="10">
        <v>-0.84172281386665282</v>
      </c>
      <c r="H58" s="12">
        <f t="shared" si="2"/>
        <v>-8.4172281386665285E-3</v>
      </c>
    </row>
    <row r="59" spans="2:8" x14ac:dyDescent="0.2">
      <c r="D59" s="1"/>
      <c r="F59" s="11" t="s">
        <v>162</v>
      </c>
      <c r="G59" s="10">
        <v>-0.80320460287803819</v>
      </c>
      <c r="H59" s="12">
        <f t="shared" si="2"/>
        <v>-8.0320460287803819E-3</v>
      </c>
    </row>
    <row r="60" spans="2:8" x14ac:dyDescent="0.2">
      <c r="D60" s="1"/>
      <c r="F60" s="11" t="s">
        <v>163</v>
      </c>
      <c r="G60" s="10">
        <v>-0.78316461545734595</v>
      </c>
      <c r="H60" s="12">
        <f t="shared" si="2"/>
        <v>-7.8316461545734593E-3</v>
      </c>
    </row>
    <row r="61" spans="2:8" x14ac:dyDescent="0.2">
      <c r="D61" s="1"/>
      <c r="F61" s="11" t="s">
        <v>164</v>
      </c>
      <c r="G61" s="10">
        <v>-0.77703891819948889</v>
      </c>
      <c r="H61" s="12">
        <f t="shared" si="2"/>
        <v>-7.7703891819948887E-3</v>
      </c>
    </row>
    <row r="62" spans="2:8" x14ac:dyDescent="0.2">
      <c r="D62" s="1"/>
      <c r="F62" s="11" t="s">
        <v>165</v>
      </c>
      <c r="G62" s="10">
        <v>-0.74128160519666764</v>
      </c>
      <c r="H62" s="12">
        <f t="shared" si="2"/>
        <v>-7.4128160519666766E-3</v>
      </c>
    </row>
    <row r="63" spans="2:8" x14ac:dyDescent="0.2">
      <c r="D63" s="1"/>
      <c r="F63" s="11" t="s">
        <v>166</v>
      </c>
      <c r="G63" s="10">
        <v>-0.73504018427127416</v>
      </c>
      <c r="H63" s="12">
        <f t="shared" si="2"/>
        <v>-7.3504018427127419E-3</v>
      </c>
    </row>
    <row r="64" spans="2:8" x14ac:dyDescent="0.2">
      <c r="D64" s="1"/>
      <c r="F64" s="11" t="s">
        <v>167</v>
      </c>
      <c r="G64" s="10">
        <v>-0.66278148523870672</v>
      </c>
      <c r="H64" s="12">
        <f t="shared" si="2"/>
        <v>-6.6278148523870673E-3</v>
      </c>
    </row>
    <row r="65" spans="4:8" x14ac:dyDescent="0.2">
      <c r="D65" s="1"/>
      <c r="F65" s="11" t="s">
        <v>168</v>
      </c>
      <c r="G65" s="10">
        <v>-0.64423842481688998</v>
      </c>
      <c r="H65" s="12">
        <f t="shared" si="2"/>
        <v>-6.4423842481689001E-3</v>
      </c>
    </row>
    <row r="66" spans="4:8" x14ac:dyDescent="0.2">
      <c r="D66" s="1"/>
      <c r="F66" s="11" t="s">
        <v>169</v>
      </c>
      <c r="G66" s="10">
        <v>-0.51114862226544999</v>
      </c>
      <c r="H66" s="12">
        <f t="shared" si="2"/>
        <v>-5.1114862226545E-3</v>
      </c>
    </row>
    <row r="67" spans="4:8" x14ac:dyDescent="0.2">
      <c r="D67" s="1"/>
      <c r="F67" s="11" t="s">
        <v>170</v>
      </c>
      <c r="G67" s="10">
        <v>-0.50150101026930494</v>
      </c>
      <c r="H67" s="12">
        <f t="shared" si="2"/>
        <v>-5.0150101026930497E-3</v>
      </c>
    </row>
    <row r="68" spans="4:8" x14ac:dyDescent="0.2">
      <c r="D68" s="1"/>
      <c r="F68" s="11" t="s">
        <v>171</v>
      </c>
      <c r="G68" s="10">
        <v>-0.44881481278802488</v>
      </c>
      <c r="H68" s="12">
        <f t="shared" si="2"/>
        <v>-4.4881481278802489E-3</v>
      </c>
    </row>
    <row r="69" spans="4:8" x14ac:dyDescent="0.2">
      <c r="D69" s="1"/>
      <c r="F69" s="11" t="s">
        <v>172</v>
      </c>
      <c r="G69" s="10">
        <v>-0.41729947289927372</v>
      </c>
      <c r="H69" s="12">
        <f t="shared" si="2"/>
        <v>-4.172994728992737E-3</v>
      </c>
    </row>
    <row r="70" spans="4:8" x14ac:dyDescent="0.2">
      <c r="D70" s="1"/>
      <c r="F70" s="11" t="s">
        <v>173</v>
      </c>
      <c r="G70" s="10">
        <v>-0.41190149113877106</v>
      </c>
      <c r="H70" s="12">
        <f t="shared" si="2"/>
        <v>-4.1190149113877108E-3</v>
      </c>
    </row>
    <row r="71" spans="4:8" x14ac:dyDescent="0.2">
      <c r="D71" s="1"/>
      <c r="F71" s="11" t="s">
        <v>174</v>
      </c>
      <c r="G71" s="10">
        <v>-0.40800382426986115</v>
      </c>
      <c r="H71" s="12">
        <f t="shared" si="2"/>
        <v>-4.0800382426986114E-3</v>
      </c>
    </row>
    <row r="72" spans="4:8" x14ac:dyDescent="0.2">
      <c r="D72" s="1"/>
      <c r="F72" s="11" t="s">
        <v>175</v>
      </c>
      <c r="G72" s="10">
        <v>-0.37745419605778052</v>
      </c>
      <c r="H72" s="12">
        <f t="shared" si="2"/>
        <v>-3.7745419605778054E-3</v>
      </c>
    </row>
    <row r="73" spans="4:8" x14ac:dyDescent="0.2">
      <c r="D73" s="1"/>
      <c r="F73" s="11" t="s">
        <v>14</v>
      </c>
      <c r="G73" s="10">
        <v>-0.28641687175955338</v>
      </c>
      <c r="H73" s="12">
        <f t="shared" si="2"/>
        <v>-2.8641687175955336E-3</v>
      </c>
    </row>
    <row r="74" spans="4:8" x14ac:dyDescent="0.2">
      <c r="D74" s="1"/>
      <c r="F74" s="11"/>
      <c r="G74" s="11"/>
      <c r="H74" s="13"/>
    </row>
    <row r="75" spans="4:8" x14ac:dyDescent="0.2">
      <c r="D75" s="1"/>
    </row>
    <row r="76" spans="4:8" x14ac:dyDescent="0.2">
      <c r="D76" s="1"/>
    </row>
    <row r="77" spans="4:8" x14ac:dyDescent="0.2">
      <c r="D77" s="1"/>
      <c r="G77" t="s">
        <v>5</v>
      </c>
    </row>
    <row r="78" spans="4:8" x14ac:dyDescent="0.2">
      <c r="D78" s="1"/>
    </row>
    <row r="79" spans="4:8" x14ac:dyDescent="0.2">
      <c r="D79" s="1"/>
      <c r="H79" s="1"/>
    </row>
    <row r="80" spans="4:8" x14ac:dyDescent="0.2">
      <c r="D80" s="1"/>
      <c r="H80" s="1"/>
    </row>
    <row r="81" spans="4:8" x14ac:dyDescent="0.2">
      <c r="D81" s="1"/>
      <c r="H81" s="1"/>
    </row>
    <row r="82" spans="4:8" x14ac:dyDescent="0.2">
      <c r="D82" s="1"/>
      <c r="H82" s="1"/>
    </row>
    <row r="83" spans="4:8" x14ac:dyDescent="0.2">
      <c r="D83" s="1"/>
      <c r="H83" s="1"/>
    </row>
    <row r="84" spans="4:8" x14ac:dyDescent="0.2">
      <c r="D84" s="1"/>
      <c r="H84" s="1"/>
    </row>
    <row r="85" spans="4:8" x14ac:dyDescent="0.2">
      <c r="D85" s="1"/>
      <c r="H85" s="1"/>
    </row>
    <row r="86" spans="4:8" x14ac:dyDescent="0.2">
      <c r="D86" s="1"/>
      <c r="H86" s="1"/>
    </row>
    <row r="87" spans="4:8" x14ac:dyDescent="0.2">
      <c r="D87" s="1"/>
      <c r="H87" s="1"/>
    </row>
    <row r="88" spans="4:8" x14ac:dyDescent="0.2">
      <c r="D88" s="1"/>
      <c r="H88" s="1"/>
    </row>
    <row r="89" spans="4:8" x14ac:dyDescent="0.2">
      <c r="D89" s="1"/>
      <c r="H89" s="1"/>
    </row>
    <row r="90" spans="4:8" x14ac:dyDescent="0.2">
      <c r="D90" s="1"/>
      <c r="H90" s="1"/>
    </row>
    <row r="91" spans="4:8" x14ac:dyDescent="0.2">
      <c r="D91" s="1"/>
      <c r="H91" s="1"/>
    </row>
    <row r="92" spans="4:8" x14ac:dyDescent="0.2">
      <c r="D92" s="1"/>
      <c r="H92" s="1"/>
    </row>
    <row r="93" spans="4:8" x14ac:dyDescent="0.2">
      <c r="D93" s="1"/>
      <c r="H93" s="1"/>
    </row>
    <row r="94" spans="4:8" x14ac:dyDescent="0.2">
      <c r="D94" s="1"/>
      <c r="H94" s="1"/>
    </row>
    <row r="95" spans="4:8" x14ac:dyDescent="0.2">
      <c r="D95" s="1"/>
      <c r="H95" s="1"/>
    </row>
    <row r="96" spans="4:8" x14ac:dyDescent="0.2">
      <c r="D96" s="1"/>
      <c r="H96" s="1"/>
    </row>
    <row r="97" spans="4:8" x14ac:dyDescent="0.2">
      <c r="D97" s="1"/>
      <c r="H97" s="1"/>
    </row>
    <row r="98" spans="4:8" x14ac:dyDescent="0.2">
      <c r="D98" s="1"/>
      <c r="H98" s="1"/>
    </row>
    <row r="99" spans="4:8" x14ac:dyDescent="0.2">
      <c r="D99" s="1"/>
      <c r="H99" s="1"/>
    </row>
    <row r="100" spans="4:8" x14ac:dyDescent="0.2">
      <c r="D100" s="1"/>
      <c r="H100" s="1"/>
    </row>
    <row r="101" spans="4:8" x14ac:dyDescent="0.2">
      <c r="D101" s="1"/>
      <c r="H101" s="1"/>
    </row>
    <row r="102" spans="4:8" x14ac:dyDescent="0.2">
      <c r="D102" s="1"/>
      <c r="H102" s="1"/>
    </row>
    <row r="103" spans="4:8" x14ac:dyDescent="0.2">
      <c r="D103" s="1"/>
      <c r="H103" s="1"/>
    </row>
    <row r="104" spans="4:8" x14ac:dyDescent="0.2">
      <c r="D104" s="1"/>
      <c r="H104" s="1"/>
    </row>
    <row r="105" spans="4:8" x14ac:dyDescent="0.2">
      <c r="D105" s="1"/>
      <c r="H105" s="1"/>
    </row>
    <row r="106" spans="4:8" x14ac:dyDescent="0.2">
      <c r="D106" s="1"/>
      <c r="H106" s="1"/>
    </row>
    <row r="107" spans="4:8" x14ac:dyDescent="0.2">
      <c r="D107" s="1"/>
      <c r="H107" s="1"/>
    </row>
    <row r="108" spans="4:8" x14ac:dyDescent="0.2">
      <c r="D108" s="1"/>
      <c r="H108" s="1"/>
    </row>
    <row r="109" spans="4:8" x14ac:dyDescent="0.2">
      <c r="D109" s="1"/>
      <c r="H109" s="1"/>
    </row>
    <row r="110" spans="4:8" x14ac:dyDescent="0.2">
      <c r="D110" s="1"/>
      <c r="H110" s="1"/>
    </row>
    <row r="111" spans="4:8" x14ac:dyDescent="0.2">
      <c r="D111" s="1"/>
      <c r="H111" s="1"/>
    </row>
    <row r="112" spans="4:8" x14ac:dyDescent="0.2">
      <c r="D112" s="1"/>
      <c r="H112" s="1"/>
    </row>
    <row r="113" spans="4:8" x14ac:dyDescent="0.2">
      <c r="D113" s="1"/>
      <c r="H113" s="1"/>
    </row>
    <row r="114" spans="4:8" x14ac:dyDescent="0.2">
      <c r="D114" s="1"/>
      <c r="H114" s="1"/>
    </row>
    <row r="115" spans="4:8" x14ac:dyDescent="0.2">
      <c r="D115" s="1"/>
      <c r="H115" s="1"/>
    </row>
    <row r="116" spans="4:8" x14ac:dyDescent="0.2">
      <c r="D116" s="1"/>
      <c r="H116" s="1"/>
    </row>
    <row r="117" spans="4:8" x14ac:dyDescent="0.2">
      <c r="D117" s="1"/>
      <c r="H117" s="1"/>
    </row>
    <row r="118" spans="4:8" x14ac:dyDescent="0.2">
      <c r="D118" s="1"/>
      <c r="H118" s="1"/>
    </row>
    <row r="119" spans="4:8" x14ac:dyDescent="0.2">
      <c r="D119" s="1"/>
      <c r="H119" s="1"/>
    </row>
    <row r="120" spans="4:8" x14ac:dyDescent="0.2">
      <c r="D120" s="1"/>
      <c r="H120" s="1"/>
    </row>
    <row r="121" spans="4:8" x14ac:dyDescent="0.2">
      <c r="D121" s="1"/>
      <c r="H121" s="1"/>
    </row>
    <row r="122" spans="4:8" x14ac:dyDescent="0.2">
      <c r="D122" s="1"/>
      <c r="H122" s="1"/>
    </row>
    <row r="123" spans="4:8" x14ac:dyDescent="0.2">
      <c r="D123" s="1"/>
      <c r="H123" s="1"/>
    </row>
    <row r="124" spans="4:8" x14ac:dyDescent="0.2">
      <c r="D124" s="1"/>
      <c r="H124" s="1"/>
    </row>
    <row r="125" spans="4:8" x14ac:dyDescent="0.2">
      <c r="D125" s="1"/>
      <c r="H125" s="1"/>
    </row>
    <row r="126" spans="4:8" x14ac:dyDescent="0.2">
      <c r="D126" s="1"/>
      <c r="H126" s="1"/>
    </row>
    <row r="127" spans="4:8" x14ac:dyDescent="0.2">
      <c r="D127" s="1"/>
      <c r="H127" s="1"/>
    </row>
    <row r="128" spans="4:8" x14ac:dyDescent="0.2">
      <c r="D128" s="1"/>
      <c r="H128" s="1"/>
    </row>
    <row r="129" spans="4:8" x14ac:dyDescent="0.2">
      <c r="D129" s="1"/>
      <c r="H129" s="1"/>
    </row>
    <row r="130" spans="4:8" x14ac:dyDescent="0.2">
      <c r="D130" s="1"/>
      <c r="H130" s="1"/>
    </row>
    <row r="131" spans="4:8" x14ac:dyDescent="0.2">
      <c r="D131" s="1"/>
      <c r="H131" s="1"/>
    </row>
    <row r="132" spans="4:8" x14ac:dyDescent="0.2">
      <c r="D132" s="1"/>
      <c r="H132" s="1"/>
    </row>
    <row r="133" spans="4:8" x14ac:dyDescent="0.2">
      <c r="D133" s="1"/>
      <c r="H133" s="1"/>
    </row>
    <row r="134" spans="4:8" x14ac:dyDescent="0.2">
      <c r="D134" s="1"/>
      <c r="H134" s="1"/>
    </row>
    <row r="135" spans="4:8" x14ac:dyDescent="0.2">
      <c r="D135" s="1"/>
      <c r="H135" s="1"/>
    </row>
    <row r="136" spans="4:8" x14ac:dyDescent="0.2">
      <c r="D136" s="1"/>
      <c r="H136" s="1"/>
    </row>
    <row r="137" spans="4:8" x14ac:dyDescent="0.2">
      <c r="D137" s="1"/>
      <c r="H137" s="1"/>
    </row>
    <row r="138" spans="4:8" x14ac:dyDescent="0.2">
      <c r="D138" s="1"/>
      <c r="H138" s="1"/>
    </row>
    <row r="139" spans="4:8" x14ac:dyDescent="0.2">
      <c r="D139" s="1"/>
      <c r="H139" s="1"/>
    </row>
    <row r="140" spans="4:8" x14ac:dyDescent="0.2">
      <c r="D140" s="1"/>
      <c r="H140" s="1"/>
    </row>
    <row r="141" spans="4:8" x14ac:dyDescent="0.2">
      <c r="D141" s="1"/>
      <c r="H141" s="1"/>
    </row>
    <row r="142" spans="4:8" x14ac:dyDescent="0.2">
      <c r="D142" s="1"/>
      <c r="H142" s="1"/>
    </row>
    <row r="143" spans="4:8" x14ac:dyDescent="0.2">
      <c r="D143" s="1"/>
      <c r="H143" s="1"/>
    </row>
    <row r="144" spans="4:8" x14ac:dyDescent="0.2">
      <c r="D144" s="1"/>
      <c r="H144" s="1"/>
    </row>
    <row r="145" spans="4:8" x14ac:dyDescent="0.2">
      <c r="D145" s="1"/>
      <c r="H145" s="1"/>
    </row>
    <row r="146" spans="4:8" x14ac:dyDescent="0.2">
      <c r="D146" s="1"/>
      <c r="H146" s="1"/>
    </row>
    <row r="147" spans="4:8" x14ac:dyDescent="0.2">
      <c r="D147" s="1"/>
      <c r="H147" s="1"/>
    </row>
    <row r="148" spans="4:8" x14ac:dyDescent="0.2">
      <c r="D148" s="1"/>
      <c r="H148" s="1"/>
    </row>
    <row r="149" spans="4:8" x14ac:dyDescent="0.2">
      <c r="D149" s="1"/>
      <c r="H149" s="1"/>
    </row>
    <row r="150" spans="4:8" x14ac:dyDescent="0.2">
      <c r="D150" s="1"/>
      <c r="H150" s="1"/>
    </row>
    <row r="151" spans="4:8" x14ac:dyDescent="0.2">
      <c r="D151" s="1"/>
      <c r="H151" s="1"/>
    </row>
    <row r="152" spans="4:8" x14ac:dyDescent="0.2">
      <c r="D152" s="1"/>
      <c r="H152" s="1"/>
    </row>
    <row r="153" spans="4:8" x14ac:dyDescent="0.2">
      <c r="D153" s="1"/>
      <c r="H153" s="1"/>
    </row>
    <row r="154" spans="4:8" x14ac:dyDescent="0.2">
      <c r="D154" s="1"/>
      <c r="H154" s="1"/>
    </row>
    <row r="155" spans="4:8" x14ac:dyDescent="0.2">
      <c r="D155" s="1"/>
      <c r="H155" s="1"/>
    </row>
    <row r="156" spans="4:8" x14ac:dyDescent="0.2">
      <c r="D156" s="1"/>
      <c r="H156" s="1"/>
    </row>
    <row r="157" spans="4:8" x14ac:dyDescent="0.2">
      <c r="D157" s="1"/>
      <c r="H157" s="1"/>
    </row>
    <row r="158" spans="4:8" x14ac:dyDescent="0.2">
      <c r="D158" s="1"/>
      <c r="H158" s="1"/>
    </row>
    <row r="159" spans="4:8" x14ac:dyDescent="0.2">
      <c r="D159" s="1"/>
      <c r="H159" s="1"/>
    </row>
    <row r="160" spans="4:8" x14ac:dyDescent="0.2">
      <c r="D160" s="1"/>
      <c r="H160" s="1"/>
    </row>
    <row r="161" spans="4:8" x14ac:dyDescent="0.2">
      <c r="D161" s="1"/>
      <c r="H161" s="1"/>
    </row>
    <row r="162" spans="4:8" x14ac:dyDescent="0.2">
      <c r="D162" s="1"/>
      <c r="H162" s="1"/>
    </row>
    <row r="163" spans="4:8" x14ac:dyDescent="0.2">
      <c r="D163" s="1"/>
      <c r="H163" s="1"/>
    </row>
    <row r="164" spans="4:8" x14ac:dyDescent="0.2">
      <c r="D164" s="1"/>
      <c r="H164" s="1"/>
    </row>
    <row r="165" spans="4:8" x14ac:dyDescent="0.2">
      <c r="D165" s="1"/>
      <c r="H165" s="1"/>
    </row>
    <row r="166" spans="4:8" x14ac:dyDescent="0.2">
      <c r="D166" s="1"/>
      <c r="H166" s="1"/>
    </row>
    <row r="167" spans="4:8" x14ac:dyDescent="0.2">
      <c r="D167" s="1"/>
      <c r="H167" s="1"/>
    </row>
    <row r="168" spans="4:8" x14ac:dyDescent="0.2">
      <c r="D168" s="1"/>
      <c r="H168" s="1"/>
    </row>
    <row r="169" spans="4:8" x14ac:dyDescent="0.2">
      <c r="D169" s="1"/>
      <c r="H169" s="1"/>
    </row>
    <row r="170" spans="4:8" x14ac:dyDescent="0.2">
      <c r="D170" s="1"/>
      <c r="H170" s="1"/>
    </row>
    <row r="171" spans="4:8" x14ac:dyDescent="0.2">
      <c r="D171" s="1"/>
      <c r="H171" s="1"/>
    </row>
    <row r="172" spans="4:8" x14ac:dyDescent="0.2">
      <c r="D172" s="1"/>
      <c r="H172" s="1"/>
    </row>
    <row r="173" spans="4:8" x14ac:dyDescent="0.2">
      <c r="D173" s="1"/>
      <c r="H173" s="1"/>
    </row>
    <row r="174" spans="4:8" x14ac:dyDescent="0.2">
      <c r="D174" s="1"/>
      <c r="H174" s="1"/>
    </row>
    <row r="175" spans="4:8" x14ac:dyDescent="0.2">
      <c r="D175" s="1"/>
      <c r="H175" s="1"/>
    </row>
    <row r="176" spans="4:8" x14ac:dyDescent="0.2">
      <c r="D176" s="1"/>
      <c r="H176" s="1"/>
    </row>
    <row r="177" spans="4:8" x14ac:dyDescent="0.2">
      <c r="D177" s="1"/>
      <c r="H177" s="1"/>
    </row>
    <row r="178" spans="4:8" x14ac:dyDescent="0.2">
      <c r="D178" s="1"/>
      <c r="H178" s="1"/>
    </row>
    <row r="179" spans="4:8" x14ac:dyDescent="0.2">
      <c r="D179" s="1"/>
      <c r="H179" s="1"/>
    </row>
    <row r="180" spans="4:8" x14ac:dyDescent="0.2">
      <c r="H180" s="1"/>
    </row>
    <row r="181" spans="4:8" x14ac:dyDescent="0.2">
      <c r="H181" s="1"/>
    </row>
    <row r="182" spans="4:8" x14ac:dyDescent="0.2">
      <c r="H182" s="1"/>
    </row>
    <row r="183" spans="4:8" x14ac:dyDescent="0.2">
      <c r="H183" s="1"/>
    </row>
    <row r="184" spans="4:8" x14ac:dyDescent="0.2">
      <c r="H184" s="1"/>
    </row>
    <row r="185" spans="4:8" x14ac:dyDescent="0.2">
      <c r="H185" s="1"/>
    </row>
    <row r="186" spans="4:8" x14ac:dyDescent="0.2">
      <c r="H186" s="1"/>
    </row>
    <row r="187" spans="4:8" x14ac:dyDescent="0.2">
      <c r="H187" s="1"/>
    </row>
    <row r="188" spans="4:8" x14ac:dyDescent="0.2">
      <c r="H188" s="1"/>
    </row>
    <row r="189" spans="4:8" x14ac:dyDescent="0.2">
      <c r="H189" s="1"/>
    </row>
    <row r="190" spans="4:8" x14ac:dyDescent="0.2">
      <c r="H190" s="1"/>
    </row>
    <row r="191" spans="4:8" x14ac:dyDescent="0.2">
      <c r="H191" s="1"/>
    </row>
    <row r="192" spans="4:8" x14ac:dyDescent="0.2">
      <c r="H192" s="1"/>
    </row>
    <row r="193" spans="8:8" x14ac:dyDescent="0.2">
      <c r="H193" s="1"/>
    </row>
    <row r="194" spans="8:8" x14ac:dyDescent="0.2">
      <c r="H194" s="1"/>
    </row>
    <row r="195" spans="8:8" x14ac:dyDescent="0.2">
      <c r="H195" s="1"/>
    </row>
    <row r="196" spans="8:8" x14ac:dyDescent="0.2">
      <c r="H196" s="1"/>
    </row>
    <row r="197" spans="8:8" x14ac:dyDescent="0.2">
      <c r="H197" s="1"/>
    </row>
    <row r="198" spans="8:8" x14ac:dyDescent="0.2">
      <c r="H198" s="1"/>
    </row>
    <row r="199" spans="8:8" x14ac:dyDescent="0.2">
      <c r="H199" s="1"/>
    </row>
    <row r="200" spans="8:8" x14ac:dyDescent="0.2">
      <c r="H200" s="1"/>
    </row>
    <row r="201" spans="8:8" x14ac:dyDescent="0.2">
      <c r="H201" s="1"/>
    </row>
  </sheetData>
  <pageMargins left="0.7" right="0.7" top="0.75" bottom="0.75" header="0.3" footer="0.3"/>
  <pageSetup scale="77" orientation="portrait" r:id="rId1"/>
  <colBreaks count="1" manualBreakCount="1">
    <brk id="8" max="11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Issuer</vt:lpstr>
      <vt:lpstr>Instrument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Zack Snow</dc:creator>
  <cp:keywords/>
  <dc:description/>
  <cp:lastModifiedBy>Hari Kumar</cp:lastModifiedBy>
  <dcterms:created xsi:type="dcterms:W3CDTF">2021-09-29T23:40:08Z</dcterms:created>
  <dcterms:modified xsi:type="dcterms:W3CDTF">2026-06-02T13:41:55Z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thod">
    <vt:lpwstr>Visualization</vt:lpwstr>
  </property>
  <property fmtid="{D5CDD505-2E9C-101B-9397-08002B2CF9AE}" pid="3" name="focus">
    <vt:lpwstr>LKP_MASTER__PORT</vt:lpwstr>
  </property>
  <property fmtid="{D5CDD505-2E9C-101B-9397-08002B2CF9AE}" pid="4" name="periodicity">
    <vt:lpwstr>daily</vt:lpwstr>
  </property>
  <property fmtid="{D5CDD505-2E9C-101B-9397-08002B2CF9AE}" pid="5" name="units">
    <vt:lpwstr>%</vt:lpwstr>
  </property>
  <property fmtid="{D5CDD505-2E9C-101B-9397-08002B2CF9AE}" pid="6" name="compoundingInterval">
    <vt:lpwstr>daily</vt:lpwstr>
  </property>
  <property fmtid="{D5CDD505-2E9C-101B-9397-08002B2CF9AE}" pid="7" name="sortItems">
    <vt:lpwstr>False</vt:lpwstr>
  </property>
  <property fmtid="{D5CDD505-2E9C-101B-9397-08002B2CF9AE}" pid="8" name="disableFocusSwitching">
    <vt:lpwstr>False</vt:lpwstr>
  </property>
  <property fmtid="{D5CDD505-2E9C-101B-9397-08002B2CF9AE}" pid="9" name="timespec">
    <vt:lpwstr>{"begin":"6/1/2026", "end":"6/1/2026", "periodicity":"Weekday"}</vt:lpwstr>
  </property>
  <property fmtid="{D5CDD505-2E9C-101B-9397-08002B2CF9AE}" pid="10" name="filterspec">
    <vt:lpwstr/>
  </property>
  <property fmtid="{D5CDD505-2E9C-101B-9397-08002B2CF9AE}" pid="11" name="identifier">
    <vt:lpwstr>10f5d91e</vt:lpwstr>
  </property>
  <property fmtid="{D5CDD505-2E9C-101B-9397-08002B2CF9AE}" pid="12" name="beaconPortfolio">
    <vt:lpwstr>LKP_MASTER__PORT_20260602000737</vt:lpwstr>
  </property>
</Properties>
</file>