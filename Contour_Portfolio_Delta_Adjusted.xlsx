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ownloads/"/>
    </mc:Choice>
  </mc:AlternateContent>
  <xr:revisionPtr revIDLastSave="0" documentId="8_{917D7944-7ABB-E940-B937-0D46581BEA52}" xr6:coauthVersionLast="47" xr6:coauthVersionMax="47" xr10:uidLastSave="{00000000-0000-0000-0000-000000000000}"/>
  <bookViews>
    <workbookView xWindow="-120" yWindow="66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<sst xmlns="http://schemas.openxmlformats.org/spreadsheetml/2006/main" count="236" uniqueCount="205">
  <si>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</si>
  <si>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</si>
  <si>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</si>
  <si>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</si>
  <si>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</si>
  <si>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</si>
  <si>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</si>
  <si>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</si>
  <si>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MSGS</t>
  </si>
  <si>
    <t>TEPRF</t>
  </si>
  <si>
    <t>ADSK</t>
  </si>
  <si>
    <t/>
  </si>
  <si>
    <t>Manticore Master Fund</t>
  </si>
  <si>
    <t>MADISON SQUARE GARDEN SPORT CL A ORD (NYS)</t>
  </si>
  <si>
    <t>TELEPERFORMANCE ORD (PAR) CFD</t>
  </si>
  <si>
    <t>Instrument</t>
  </si>
  <si>
    <t>AUTODESK ORD (NMS)</t>
  </si>
  <si>
    <t>LAMAR ADVERTISING CL A REIT (NMS)</t>
  </si>
  <si>
    <t>LAMR</t>
  </si>
  <si>
    <t>CSU</t>
  </si>
  <si>
    <t>CTAS</t>
  </si>
  <si>
    <t>7751</t>
  </si>
  <si>
    <t>EFX</t>
  </si>
  <si>
    <t>FICO</t>
  </si>
  <si>
    <t>ADP</t>
  </si>
  <si>
    <t>INFY</t>
  </si>
  <si>
    <t>PLTR</t>
  </si>
  <si>
    <t>MANH</t>
  </si>
  <si>
    <t>VRSK</t>
  </si>
  <si>
    <t>GRMN</t>
  </si>
  <si>
    <t>HQY</t>
  </si>
  <si>
    <t>NYT</t>
  </si>
  <si>
    <t>BSY</t>
  </si>
  <si>
    <t>6098</t>
  </si>
  <si>
    <t>ARMK</t>
  </si>
  <si>
    <t>EBAY</t>
  </si>
  <si>
    <t>PUBP</t>
  </si>
  <si>
    <t>NICE</t>
  </si>
  <si>
    <t>CRWD</t>
  </si>
  <si>
    <t>UBER</t>
  </si>
  <si>
    <t>TTAN</t>
  </si>
  <si>
    <t>EXLS</t>
  </si>
  <si>
    <t>REA</t>
  </si>
  <si>
    <t>IT</t>
  </si>
  <si>
    <t>QCOM</t>
  </si>
  <si>
    <t>IBM</t>
  </si>
  <si>
    <t>8136</t>
  </si>
  <si>
    <t>DDOG</t>
  </si>
  <si>
    <t>AAPL</t>
  </si>
  <si>
    <t>IOT</t>
  </si>
  <si>
    <t>TYL</t>
  </si>
  <si>
    <t>FNF</t>
  </si>
  <si>
    <t>SATS</t>
  </si>
  <si>
    <t>LOGI</t>
  </si>
  <si>
    <t>SLM</t>
  </si>
  <si>
    <t>RHMG</t>
  </si>
  <si>
    <t>LOPE</t>
  </si>
  <si>
    <t>CARG</t>
  </si>
  <si>
    <t>CHH</t>
  </si>
  <si>
    <t>ARM</t>
  </si>
  <si>
    <t>ANET</t>
  </si>
  <si>
    <t>WTC</t>
  </si>
  <si>
    <t>SYM</t>
  </si>
  <si>
    <t>WSP</t>
  </si>
  <si>
    <t>DUOL</t>
  </si>
  <si>
    <t>FAF</t>
  </si>
  <si>
    <t>RHI</t>
  </si>
  <si>
    <t>CDW</t>
  </si>
  <si>
    <t>OPEN</t>
  </si>
  <si>
    <t>SEZL</t>
  </si>
  <si>
    <t>NTAP</t>
  </si>
  <si>
    <t>3034</t>
  </si>
  <si>
    <t>RH</t>
  </si>
  <si>
    <t>QLYS</t>
  </si>
  <si>
    <t>WIX</t>
  </si>
  <si>
    <t>LAUR</t>
  </si>
  <si>
    <t>STN</t>
  </si>
  <si>
    <t>CNXC</t>
  </si>
  <si>
    <t>GOOG</t>
  </si>
  <si>
    <t>XYZ</t>
  </si>
  <si>
    <t>TSM</t>
  </si>
  <si>
    <t>AVGO</t>
  </si>
  <si>
    <t>LYFT</t>
  </si>
  <si>
    <t>FWONK</t>
  </si>
  <si>
    <t>IRM</t>
  </si>
  <si>
    <t>CART</t>
  </si>
  <si>
    <t>RKT</t>
  </si>
  <si>
    <t>6857</t>
  </si>
  <si>
    <t>AG1G</t>
  </si>
  <si>
    <t>RBLX</t>
  </si>
  <si>
    <t>TSLA</t>
  </si>
  <si>
    <t>BILL</t>
  </si>
  <si>
    <t>GLBE</t>
  </si>
  <si>
    <t>TRMB</t>
  </si>
  <si>
    <t>SAPG</t>
  </si>
  <si>
    <t>6752</t>
  </si>
  <si>
    <t>MKSI</t>
  </si>
  <si>
    <t>ORCL</t>
  </si>
  <si>
    <t>QRVO</t>
  </si>
  <si>
    <t>NOD</t>
  </si>
  <si>
    <t>VSAT</t>
  </si>
  <si>
    <t>DAST</t>
  </si>
  <si>
    <t>ZETA</t>
  </si>
  <si>
    <t>PYPL</t>
  </si>
  <si>
    <t>ZBRA</t>
  </si>
  <si>
    <t>AMAT</t>
  </si>
  <si>
    <t>LBTYA</t>
  </si>
  <si>
    <t>TTWO</t>
  </si>
  <si>
    <t>W</t>
  </si>
  <si>
    <t>GFS</t>
  </si>
  <si>
    <t>ENPH</t>
  </si>
  <si>
    <t>LBTYK</t>
  </si>
  <si>
    <t>CONSTELLATION SOFTWARE ORD (TOR)</t>
  </si>
  <si>
    <t>CINTAS ORD (NMS)</t>
  </si>
  <si>
    <t>CANON ORD (TYO) CFD</t>
  </si>
  <si>
    <t>EQUIFAX ORD (NYS)</t>
  </si>
  <si>
    <t>FAIR ISAAC ORD (NYS)</t>
  </si>
  <si>
    <t>AUTOMATIC DATA PROCESSING ORD (NMS)</t>
  </si>
  <si>
    <t>INFOSYS ADR REP ORD (NYS)</t>
  </si>
  <si>
    <t>PALANTIR TECHNOLOGIES CL A ORD (NMS)</t>
  </si>
  <si>
    <t>MANHATTAN ASSOCIATES ORD (NMS)</t>
  </si>
  <si>
    <t>VERISK ANALYTICS ORD (NMS)</t>
  </si>
  <si>
    <t>GARMIN ORD (NYS)</t>
  </si>
  <si>
    <t>HEALTHEQUITY ORD (NMS)</t>
  </si>
  <si>
    <t>NEW YORK TIMES CL A ORD (NYS)</t>
  </si>
  <si>
    <t>BENTLEY SYSTEMS CL B ORD (NMS)</t>
  </si>
  <si>
    <t>RECRUIT HOLDINGS CO LTD (TYO) CFD</t>
  </si>
  <si>
    <t>ARAMARK ORD (NYS)</t>
  </si>
  <si>
    <t>EBAY ORD (NMS)</t>
  </si>
  <si>
    <t>PUBLICIS GROUPE ORD (PAR) CFD</t>
  </si>
  <si>
    <t>NICE ADR REP 1 ORD (NMS)</t>
  </si>
  <si>
    <t>CROWDSTRIKE HOLDINGS CL A ORD (NMS)</t>
  </si>
  <si>
    <t>UBER TECHNOLOGIES INC (NYS)</t>
  </si>
  <si>
    <t>SERVICETITAN CL A ORD (NMS)</t>
  </si>
  <si>
    <t>EXLSERVICE HOLDINGS ORD (NMS)</t>
  </si>
  <si>
    <t>REA GROUP ORD (ASX) CFD</t>
  </si>
  <si>
    <t>GARTNER ORD (NYS)</t>
  </si>
  <si>
    <t>QUALCOMM ORD (NMS)</t>
  </si>
  <si>
    <t>INTERNATIONAL BUSINESS MACHINES ORD (NYS)</t>
  </si>
  <si>
    <t>SANRIO ORD (TYO) CFD</t>
  </si>
  <si>
    <t>DATADOG CL A ORD (NMS)</t>
  </si>
  <si>
    <t>APPLE ORD (NMS)</t>
  </si>
  <si>
    <t>SAMSARA CL A ORD (NYS)</t>
  </si>
  <si>
    <t>TYLER TECHNOLOGIES ORD (NYS)</t>
  </si>
  <si>
    <t>FIDELITY NATIONAL FINANCIAL ORD (NYS)</t>
  </si>
  <si>
    <t>ECHOSTAR CL A ORD (NMS)</t>
  </si>
  <si>
    <t>LOGITECH N ORD (NMS)</t>
  </si>
  <si>
    <t>SLM ORD (NMS)</t>
  </si>
  <si>
    <t>RHEINMETALL ORD (GER)</t>
  </si>
  <si>
    <t>GRAND CANYON EDUCATION ORD (NMS)</t>
  </si>
  <si>
    <t>CARGURUS CL A ORD (NMS)</t>
  </si>
  <si>
    <t>CHOICE HOTELS INTERNATIONAL ORD (NYS)</t>
  </si>
  <si>
    <t>ARM HOLDINGS ADR (NMS)</t>
  </si>
  <si>
    <t>ARISTA NETWORKS ORD (NYS)</t>
  </si>
  <si>
    <t>WISETECH GLOBAL ORD (ASX) CFD</t>
  </si>
  <si>
    <t>SYMBOTIC CL A ORD (NMS)</t>
  </si>
  <si>
    <t>WSP GLOBAL ORD (TOR)</t>
  </si>
  <si>
    <t>DUOLINGO CL A ORD (NMS)</t>
  </si>
  <si>
    <t>FIRST AMERICAN FINANCIAL ORD (NYS)</t>
  </si>
  <si>
    <t>ROBERT HALF ORD (NYS)</t>
  </si>
  <si>
    <t>CDW ORD (NMS)</t>
  </si>
  <si>
    <t>OPENDOOR TECHNOLOGIES ORD (NMS)</t>
  </si>
  <si>
    <t>SEZZLE INC (NMS)</t>
  </si>
  <si>
    <t>NETAPP ORD (NMS)</t>
  </si>
  <si>
    <t>NOVATEK MICROELE ORD (TAI) CFD_USD</t>
  </si>
  <si>
    <t>RH ORD (NYS)</t>
  </si>
  <si>
    <t>QUALYS ORD (NMS)</t>
  </si>
  <si>
    <t>WIX.COM ORD (NMS)</t>
  </si>
  <si>
    <t>LAUREATE EDUCATION ORD (NMS)</t>
  </si>
  <si>
    <t>STANTEC ORD (TOR)</t>
  </si>
  <si>
    <t>CONCENTRIX ORD (NMS)</t>
  </si>
  <si>
    <t>ALPHABET CL A ORD (NMS)</t>
  </si>
  <si>
    <t>BLOCK CL A ORD (NYS)</t>
  </si>
  <si>
    <t>TWN SEMICONT MAN ORD (TAI) CFD_USD</t>
  </si>
  <si>
    <t>BROADCOM ORD (NMS)</t>
  </si>
  <si>
    <t>LYFT CL A ORD (NMS)</t>
  </si>
  <si>
    <t>LIBERTY MEDIA FORMULA ONE SRS C ORD (NMS)</t>
  </si>
  <si>
    <t>IRON MOUNTAIN ORD (NYS)</t>
  </si>
  <si>
    <t>MAPLEBEAR ORD (NMS)</t>
  </si>
  <si>
    <t>ROCKET COMPANIES CL A ORD (NYS)</t>
  </si>
  <si>
    <t>ADVANTEST ORD (TYO) CFD</t>
  </si>
  <si>
    <t>AUTO1 GROUP ORD (GER)</t>
  </si>
  <si>
    <t>ROBLOX CL A ORD (NYS)</t>
  </si>
  <si>
    <t>TESLA ORD (NMS)</t>
  </si>
  <si>
    <t>BILL HOLDINGS ORD (NYS)</t>
  </si>
  <si>
    <t>GLOBAL E ONLINE ORD (NMS)</t>
  </si>
  <si>
    <t>TRIMBLE ORD (NMS)</t>
  </si>
  <si>
    <t>SAP ORD (GER)</t>
  </si>
  <si>
    <t>PANASONIC HLDG ORD (TYO) CFD</t>
  </si>
  <si>
    <t>MKS ORD (NMS)</t>
  </si>
  <si>
    <t>ORACLE ORD (NYS)</t>
  </si>
  <si>
    <t>QORVO ORD (NMS)</t>
  </si>
  <si>
    <t>NORDIC SEMICONDUCTOR ORD (OSL)</t>
  </si>
  <si>
    <t>VIASAT ORD (NMS)</t>
  </si>
  <si>
    <t>DASSAULT SYSTEM ORD (PAR) CFD</t>
  </si>
  <si>
    <t>ZETA GLOBAL HOLDINGS CL A ORD (NYS)</t>
  </si>
  <si>
    <t>PAYPAL HOLDINGS ORD (NMS)</t>
  </si>
  <si>
    <t>ZEBRA TECHNOLOGIES CL A ORD (NMS)</t>
  </si>
  <si>
    <t>APPLIED MATERIAL ORD (NMS)</t>
  </si>
  <si>
    <t>LIBERTY GLOBAL CL A ORD (NMS)</t>
  </si>
  <si>
    <t>TAKE TWO INTERACTIVE SOFTWARE ORD (NMS)</t>
  </si>
  <si>
    <t>WAYFAIR CL A ORD (NYS)</t>
  </si>
  <si>
    <t>GLOBALFOUNDRIES ORD (NMS)</t>
  </si>
  <si>
    <t>ENPHASE ENERGY ORD (NMS)</t>
  </si>
  <si>
    <t>LIBERTY GLOBAL CL C ORD (NMS)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</si>
</sst>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200"/>
  <sheetViews>
    <sheetView tabSelected="1" workbookViewId="0">
      <selection activeCell="H11" sqref="H11"/>
    </sheetView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78</v>
      </c>
      <c r="C11" s="10">
        <v>7.9455865026348329</v>
      </c>
      <c r="D11" s="10">
        <f t="shared" ref="D11:D45" si="0">IF(B11="","",(C11/100))</f>
        <v>7.9455865026348327E-2</v>
      </c>
      <c r="F11" s="11" t="s">
        <v>10</v>
      </c>
      <c r="G11" s="10">
        <v>-4.5415037047817943</v>
      </c>
      <c r="H11" s="12">
        <f t="shared" ref="H11:H42" si="1">IF(F11="","",G11/100)</f>
        <v>-4.5415037047817942E-2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79</v>
      </c>
      <c r="C12" s="10">
        <v>6.8708326027263427</v>
      </c>
      <c r="D12" s="10">
        <f t="shared" si="0"/>
        <v>6.8708326027263428E-2</v>
      </c>
      <c r="F12" s="11" t="s">
        <v>18</v>
      </c>
      <c r="G12" s="10">
        <v>-4.4861190140976008</v>
      </c>
      <c r="H12" s="12">
        <f t="shared" si="1"/>
        <v>-4.4861190140976011E-2</v>
      </c>
      <c r="K12" s="9"/>
      <c r="L12" s="11"/>
      <c r="M12" s="11"/>
      <c r="O12" s="11"/>
      <c r="P12" s="11"/>
      <c r="Q12" s="13"/>
    </row>
    <row r="13" spans="1:17" x14ac:dyDescent="0.2">
      <c r="B13" s="9" t="s">
        <v>80</v>
      </c>
      <c r="C13" s="10">
        <v>5.4774151013854411</v>
      </c>
      <c r="D13" s="10">
        <f t="shared" si="0"/>
        <v>5.4774151013854411E-2</v>
      </c>
      <c r="F13" s="11" t="s">
        <v>19</v>
      </c>
      <c r="G13" s="10">
        <v>-4.2197871427778058</v>
      </c>
      <c r="H13" s="12">
        <f t="shared" si="1"/>
        <v>-4.2197871427778061E-2</v>
      </c>
      <c r="I13" s="1"/>
    </row>
    <row r="14" spans="1:17" x14ac:dyDescent="0.2">
      <c r="B14" s="9" t="s">
        <v>81</v>
      </c>
      <c r="C14" s="10">
        <v>4.5116088507663319</v>
      </c>
      <c r="D14" s="10">
        <f t="shared" si="0"/>
        <v>4.511608850766332E-2</v>
      </c>
      <c r="F14" s="11" t="s">
        <v>20</v>
      </c>
      <c r="G14" s="10">
        <v>-4.0709587400507496</v>
      </c>
      <c r="H14" s="12">
        <f t="shared" si="1"/>
        <v>-4.0709587400507494E-2</v>
      </c>
      <c r="I14" s="1"/>
    </row>
    <row r="15" spans="1:17" x14ac:dyDescent="0.2">
      <c r="B15" s="9" t="s">
        <v>82</v>
      </c>
      <c r="C15" s="10">
        <v>3.5422600230505501</v>
      </c>
      <c r="D15" s="10">
        <f t="shared" si="0"/>
        <v>3.5422600230505502E-2</v>
      </c>
      <c r="F15" s="11" t="s">
        <v>21</v>
      </c>
      <c r="G15" s="10">
        <v>-3.7998366529676115</v>
      </c>
      <c r="H15" s="12">
        <f t="shared" si="1"/>
        <v>-3.7998366529676114E-2</v>
      </c>
      <c r="I15" s="1"/>
    </row>
    <row r="16" spans="1:17" x14ac:dyDescent="0.2">
      <c r="B16" s="9" t="s">
        <v>83</v>
      </c>
      <c r="C16" s="10">
        <v>3.5143806042718597</v>
      </c>
      <c r="D16" s="10">
        <f t="shared" si="0"/>
        <v>3.5143806042718599E-2</v>
      </c>
      <c r="F16" s="11" t="s">
        <v>22</v>
      </c>
      <c r="G16" s="10">
        <v>-3.6438888925374049</v>
      </c>
      <c r="H16" s="12">
        <f t="shared" si="1"/>
        <v>-3.6438888925374051E-2</v>
      </c>
      <c r="I16" s="1"/>
    </row>
    <row r="17" spans="2:8" x14ac:dyDescent="0.2">
      <c r="B17" s="9" t="s">
        <v>84</v>
      </c>
      <c r="C17" s="10">
        <v>3.386336187266318</v>
      </c>
      <c r="D17" s="10">
        <f t="shared" si="0"/>
        <v>3.3863361872663179E-2</v>
      </c>
      <c r="F17" s="11" t="s">
        <v>23</v>
      </c>
      <c r="G17" s="10">
        <v>-3.3311301387428793</v>
      </c>
      <c r="H17" s="12">
        <f t="shared" si="1"/>
        <v>-3.3311301387428792E-2</v>
      </c>
    </row>
    <row r="18" spans="2:8" x14ac:dyDescent="0.2">
      <c r="B18" s="9" t="s">
        <v>85</v>
      </c>
      <c r="C18" s="10">
        <v>3.2809192968749947</v>
      </c>
      <c r="D18" s="10">
        <f t="shared" si="0"/>
        <v>3.2809192968749949E-2</v>
      </c>
      <c r="F18" s="11" t="s">
        <v>24</v>
      </c>
      <c r="G18" s="10">
        <v>-3.0770632976275549</v>
      </c>
      <c r="H18" s="12">
        <f t="shared" si="1"/>
        <v>-3.0770632976275549E-2</v>
      </c>
    </row>
    <row r="19" spans="2:8" x14ac:dyDescent="0.2">
      <c r="B19" s="9" t="s">
        <v>86</v>
      </c>
      <c r="C19" s="10">
        <v>3.255709782112409</v>
      </c>
      <c r="D19" s="10">
        <f t="shared" si="0"/>
        <v>3.2557097821124092E-2</v>
      </c>
      <c r="F19" s="11" t="s">
        <v>25</v>
      </c>
      <c r="G19" s="10">
        <v>-3.0406120817445292</v>
      </c>
      <c r="H19" s="12">
        <f t="shared" si="1"/>
        <v>-3.0406120817445294E-2</v>
      </c>
    </row>
    <row r="20" spans="2:8" x14ac:dyDescent="0.2">
      <c r="B20" s="9" t="s">
        <v>87</v>
      </c>
      <c r="C20" s="10">
        <v>3.1398745010833453</v>
      </c>
      <c r="D20" s="10">
        <f t="shared" si="0"/>
        <v>3.1398745010833451E-2</v>
      </c>
      <c r="F20" s="11" t="s">
        <v>26</v>
      </c>
      <c r="G20" s="10">
        <v>-2.9854189323525038</v>
      </c>
      <c r="H20" s="12">
        <f t="shared" si="1"/>
        <v>-2.9854189323525036E-2</v>
      </c>
    </row>
    <row r="21" spans="2:8" x14ac:dyDescent="0.2">
      <c r="B21" s="9" t="s">
        <v>88</v>
      </c>
      <c r="C21" s="10">
        <v>3.0452765229632717</v>
      </c>
      <c r="D21" s="10">
        <f t="shared" si="0"/>
        <v>3.0452765229632715E-2</v>
      </c>
      <c r="F21" s="11" t="s">
        <v>27</v>
      </c>
      <c r="G21" s="10">
        <v>-2.8785752106651246</v>
      </c>
      <c r="H21" s="12">
        <f t="shared" si="1"/>
        <v>-2.8785752106651245E-2</v>
      </c>
    </row>
    <row r="22" spans="2:8" x14ac:dyDescent="0.2">
      <c r="B22" s="9" t="s">
        <v>89</v>
      </c>
      <c r="C22" s="10">
        <v>2.9959320847657147</v>
      </c>
      <c r="D22" s="10">
        <f t="shared" si="0"/>
        <v>2.9959320847657147E-2</v>
      </c>
      <c r="F22" s="11" t="s">
        <v>28</v>
      </c>
      <c r="G22" s="10">
        <v>-2.8589949056764121</v>
      </c>
      <c r="H22" s="12">
        <f t="shared" si="1"/>
        <v>-2.8589949056764121E-2</v>
      </c>
    </row>
    <row r="23" spans="2:8" x14ac:dyDescent="0.2">
      <c r="B23" s="9" t="s">
        <v>90</v>
      </c>
      <c r="C23" s="10">
        <v>2.5778778653644032</v>
      </c>
      <c r="D23" s="10">
        <f t="shared" si="0"/>
        <v>2.5778778653644033E-2</v>
      </c>
      <c r="F23" s="11" t="s">
        <v>29</v>
      </c>
      <c r="G23" s="10">
        <v>-2.7557344041589866</v>
      </c>
      <c r="H23" s="12">
        <f t="shared" si="1"/>
        <v>-2.7557344041589868E-2</v>
      </c>
    </row>
    <row r="24" spans="2:8" x14ac:dyDescent="0.2">
      <c r="B24" s="9" t="s">
        <v>91</v>
      </c>
      <c r="C24" s="10">
        <v>2.5701980540066631</v>
      </c>
      <c r="D24" s="10">
        <f t="shared" si="0"/>
        <v>2.570198054006663E-2</v>
      </c>
      <c r="F24" s="11" t="s">
        <v>30</v>
      </c>
      <c r="G24" s="10">
        <v>-2.7443894379250495</v>
      </c>
      <c r="H24" s="12">
        <f t="shared" si="1"/>
        <v>-2.7443894379250496E-2</v>
      </c>
    </row>
    <row r="25" spans="2:8" x14ac:dyDescent="0.2">
      <c r="B25" s="9" t="s">
        <v>92</v>
      </c>
      <c r="C25" s="10">
        <v>2.2203494692308459</v>
      </c>
      <c r="D25" s="10">
        <f t="shared" si="0"/>
        <v>2.2203494692308458E-2</v>
      </c>
      <c r="F25" s="11" t="s">
        <v>31</v>
      </c>
      <c r="G25" s="10">
        <v>-2.7360279903436027</v>
      </c>
      <c r="H25" s="12">
        <f t="shared" si="1"/>
        <v>-2.7360279903436025E-2</v>
      </c>
    </row>
    <row r="26" spans="2:8" x14ac:dyDescent="0.2">
      <c r="B26" s="9" t="s">
        <v>93</v>
      </c>
      <c r="C26" s="10">
        <v>2.1221052885896698</v>
      </c>
      <c r="D26" s="10">
        <f t="shared" si="0"/>
        <v>2.1221052885896697E-2</v>
      </c>
      <c r="F26" s="11" t="s">
        <v>32</v>
      </c>
      <c r="G26" s="10">
        <v>-2.5203576838404471</v>
      </c>
      <c r="H26" s="12">
        <f t="shared" si="1"/>
        <v>-2.5203576838404473E-2</v>
      </c>
    </row>
    <row r="27" spans="2:8" x14ac:dyDescent="0.2">
      <c r="B27" s="9" t="s">
        <v>94</v>
      </c>
      <c r="C27" s="10">
        <v>2.1070422968944205</v>
      </c>
      <c r="D27" s="10">
        <f t="shared" si="0"/>
        <v>2.1070422968944204E-2</v>
      </c>
      <c r="F27" s="11" t="s">
        <v>33</v>
      </c>
      <c r="G27" s="10">
        <v>-2.5088141142200486</v>
      </c>
      <c r="H27" s="12">
        <f t="shared" si="1"/>
        <v>-2.5088141142200485E-2</v>
      </c>
    </row>
    <row r="28" spans="2:8" x14ac:dyDescent="0.2">
      <c r="B28" s="9" t="s">
        <v>95</v>
      </c>
      <c r="C28" s="10">
        <v>2.0833059263540186</v>
      </c>
      <c r="D28" s="10">
        <f t="shared" si="0"/>
        <v>2.0833059263540187E-2</v>
      </c>
      <c r="F28" s="11" t="s">
        <v>34</v>
      </c>
      <c r="G28" s="10">
        <v>-2.3901766230001549</v>
      </c>
      <c r="H28" s="12">
        <f t="shared" si="1"/>
        <v>-2.390176623000155E-2</v>
      </c>
    </row>
    <row r="29" spans="2:8" x14ac:dyDescent="0.2">
      <c r="B29" s="9" t="s">
        <v>96</v>
      </c>
      <c r="C29" s="10">
        <v>2.067807872177946</v>
      </c>
      <c r="D29" s="10">
        <f t="shared" si="0"/>
        <v>2.0678078721779462E-2</v>
      </c>
      <c r="F29" s="11" t="s">
        <v>35</v>
      </c>
      <c r="G29" s="10">
        <v>-2.330264121003145</v>
      </c>
      <c r="H29" s="12">
        <f t="shared" si="1"/>
        <v>-2.330264121003145E-2</v>
      </c>
    </row>
    <row r="30" spans="2:8" x14ac:dyDescent="0.2">
      <c r="B30" s="9" t="s">
        <v>97</v>
      </c>
      <c r="C30" s="10">
        <v>1.9805874045425345</v>
      </c>
      <c r="D30" s="10">
        <f t="shared" si="0"/>
        <v>1.9805874045425345E-2</v>
      </c>
      <c r="F30" s="11" t="s">
        <v>36</v>
      </c>
      <c r="G30" s="10">
        <v>-2.1837118284709063</v>
      </c>
      <c r="H30" s="12">
        <f t="shared" si="1"/>
        <v>-2.1837118284709064E-2</v>
      </c>
    </row>
    <row r="31" spans="2:8" x14ac:dyDescent="0.2">
      <c r="B31" s="9" t="s">
        <v>98</v>
      </c>
      <c r="C31" s="10">
        <v>1.9712322914691018</v>
      </c>
      <c r="D31" s="10">
        <f t="shared" si="0"/>
        <v>1.9712322914691018E-2</v>
      </c>
      <c r="F31" s="11" t="s">
        <v>37</v>
      </c>
      <c r="G31" s="10">
        <v>-2.0933344605618776</v>
      </c>
      <c r="H31" s="12">
        <f t="shared" si="1"/>
        <v>-2.0933344605618777E-2</v>
      </c>
    </row>
    <row r="32" spans="2:8" x14ac:dyDescent="0.2">
      <c r="B32" s="9" t="s">
        <v>99</v>
      </c>
      <c r="C32" s="10">
        <v>1.9620033078177137</v>
      </c>
      <c r="D32" s="10">
        <f t="shared" si="0"/>
        <v>1.9620033078177137E-2</v>
      </c>
      <c r="F32" s="11" t="s">
        <v>38</v>
      </c>
      <c r="G32" s="10">
        <v>-2.049956266985248</v>
      </c>
      <c r="H32" s="12">
        <f t="shared" si="1"/>
        <v>-2.0499562669852481E-2</v>
      </c>
    </row>
    <row r="33" spans="2:8" x14ac:dyDescent="0.2">
      <c r="B33" s="9" t="s">
        <v>100</v>
      </c>
      <c r="C33" s="10">
        <v>1.9112837583787572</v>
      </c>
      <c r="D33" s="10">
        <f t="shared" si="0"/>
        <v>1.9112837583787571E-2</v>
      </c>
      <c r="F33" s="11" t="s">
        <v>39</v>
      </c>
      <c r="G33" s="10">
        <v>-1.9173153634029931</v>
      </c>
      <c r="H33" s="12">
        <f t="shared" si="1"/>
        <v>-1.9173153634029931E-2</v>
      </c>
    </row>
    <row r="34" spans="2:8" x14ac:dyDescent="0.2">
      <c r="B34" s="9" t="s">
        <v>101</v>
      </c>
      <c r="C34" s="10">
        <v>1.7087813031835299</v>
      </c>
      <c r="D34" s="10">
        <f t="shared" si="0"/>
        <v>1.7087813031835299E-2</v>
      </c>
      <c r="F34" s="11" t="s">
        <v>40</v>
      </c>
      <c r="G34" s="10">
        <v>-1.9047052013576999</v>
      </c>
      <c r="H34" s="12">
        <f t="shared" si="1"/>
        <v>-1.9047052013576999E-2</v>
      </c>
    </row>
    <row r="35" spans="2:8" x14ac:dyDescent="0.2">
      <c r="B35" s="9" t="s">
        <v>102</v>
      </c>
      <c r="C35" s="10">
        <v>1.6636507013514712</v>
      </c>
      <c r="D35" s="10">
        <f t="shared" si="0"/>
        <v>1.6636507013514712E-2</v>
      </c>
      <c r="F35" s="11" t="s">
        <v>41</v>
      </c>
      <c r="G35" s="10">
        <v>-1.7047066909626769</v>
      </c>
      <c r="H35" s="12">
        <f t="shared" si="1"/>
        <v>-1.7047066909626769E-2</v>
      </c>
    </row>
    <row r="36" spans="2:8" x14ac:dyDescent="0.2">
      <c r="B36" s="9" t="s">
        <v>103</v>
      </c>
      <c r="C36" s="10">
        <v>1.2449030995900259</v>
      </c>
      <c r="D36" s="10">
        <f t="shared" si="0"/>
        <v>1.2449030995900258E-2</v>
      </c>
      <c r="F36" s="11" t="s">
        <v>42</v>
      </c>
      <c r="G36" s="10">
        <v>-1.7009970016551186</v>
      </c>
      <c r="H36" s="12">
        <f t="shared" si="1"/>
        <v>-1.7009970016551187E-2</v>
      </c>
    </row>
    <row r="37" spans="2:8" x14ac:dyDescent="0.2">
      <c r="B37" s="9" t="s">
        <v>104</v>
      </c>
      <c r="C37" s="10">
        <v>1.1688977421281732</v>
      </c>
      <c r="D37" s="10">
        <f t="shared" si="0"/>
        <v>1.1688977421281731E-2</v>
      </c>
      <c r="F37" s="11" t="s">
        <v>43</v>
      </c>
      <c r="G37" s="10">
        <v>-1.6646529422436704</v>
      </c>
      <c r="H37" s="12">
        <f t="shared" si="1"/>
        <v>-1.6646529422436704E-2</v>
      </c>
    </row>
    <row r="38" spans="2:8" x14ac:dyDescent="0.2">
      <c r="B38" s="9" t="s">
        <v>105</v>
      </c>
      <c r="C38" s="10">
        <v>1.1155702106868339</v>
      </c>
      <c r="D38" s="10">
        <f t="shared" si="0"/>
        <v>1.1155702106868339E-2</v>
      </c>
      <c r="F38" s="11" t="s">
        <v>44</v>
      </c>
      <c r="G38" s="10">
        <v>-1.6390832606721104</v>
      </c>
      <c r="H38" s="12">
        <f t="shared" si="1"/>
        <v>-1.6390832606721105E-2</v>
      </c>
    </row>
    <row r="39" spans="2:8" x14ac:dyDescent="0.2">
      <c r="B39" s="9" t="s">
        <v>106</v>
      </c>
      <c r="C39" s="10">
        <v>0.99648369998180264</v>
      </c>
      <c r="D39" s="10">
        <f t="shared" si="0"/>
        <v>9.9648369998180265E-3</v>
      </c>
      <c r="F39" s="11" t="s">
        <v>45</v>
      </c>
      <c r="G39" s="10">
        <v>-1.5891074135949554</v>
      </c>
      <c r="H39" s="12">
        <f t="shared" si="1"/>
        <v>-1.5891074135949555E-2</v>
      </c>
    </row>
    <row r="40" spans="2:8" x14ac:dyDescent="0.2">
      <c r="B40" s="9" t="s">
        <v>107</v>
      </c>
      <c r="C40" s="10">
        <v>0.82817958052775298</v>
      </c>
      <c r="D40" s="10">
        <f t="shared" si="0"/>
        <v>8.2817958052775302E-3</v>
      </c>
      <c r="F40" s="11" t="s">
        <v>46</v>
      </c>
      <c r="G40" s="10">
        <v>-1.4892150986824619</v>
      </c>
      <c r="H40" s="12">
        <f t="shared" si="1"/>
        <v>-1.489215098682462E-2</v>
      </c>
    </row>
    <row r="41" spans="2:8" x14ac:dyDescent="0.2">
      <c r="B41" s="9" t="s">
        <v>108</v>
      </c>
      <c r="C41" s="10">
        <v>0.57436012889926524</v>
      </c>
      <c r="D41" s="10">
        <f t="shared" si="0"/>
        <v>5.7436012889926528E-3</v>
      </c>
      <c r="F41" s="11" t="s">
        <v>47</v>
      </c>
      <c r="G41" s="10">
        <v>-1.478054539584212</v>
      </c>
      <c r="H41" s="12">
        <f t="shared" si="1"/>
        <v>-1.478054539584212E-2</v>
      </c>
    </row>
    <row r="42" spans="2:8" x14ac:dyDescent="0.2">
      <c r="B42" s="9" t="s">
        <v>109</v>
      </c>
      <c r="C42" s="10">
        <v>0.5641928749820676</v>
      </c>
      <c r="D42" s="10">
        <f t="shared" si="0"/>
        <v>5.6419287498206761E-3</v>
      </c>
      <c r="F42" s="11" t="s">
        <v>48</v>
      </c>
      <c r="G42" s="10">
        <v>-1.4488183339549083</v>
      </c>
      <c r="H42" s="12">
        <f t="shared" si="1"/>
        <v>-1.4488183339549083E-2</v>
      </c>
    </row>
    <row r="43" spans="2:8" x14ac:dyDescent="0.2">
      <c r="B43" s="9" t="s">
        <v>110</v>
      </c>
      <c r="C43" s="10">
        <v>0.40492030938330448</v>
      </c>
      <c r="D43" s="10">
        <f t="shared" si="0"/>
        <v>4.049203093833045E-3</v>
      </c>
      <c r="F43" s="11" t="s">
        <v>49</v>
      </c>
      <c r="G43" s="10">
        <v>-1.4375635175164947</v>
      </c>
      <c r="H43" s="12">
        <f t="shared" ref="H43:H74" si="2">IF(F43="","",G43/100)</f>
        <v>-1.4375635175164946E-2</v>
      </c>
    </row>
    <row r="44" spans="2:8" x14ac:dyDescent="0.2">
      <c r="B44" s="9" t="s">
        <v>111</v>
      </c>
      <c r="C44" s="10">
        <v>0.28028407349629625</v>
      </c>
      <c r="D44" s="10">
        <f t="shared" si="0"/>
        <v>2.8028407349629625E-3</v>
      </c>
      <c r="F44" s="11" t="s">
        <v>50</v>
      </c>
      <c r="G44" s="10">
        <v>-1.4220994046303435</v>
      </c>
      <c r="H44" s="12">
        <f t="shared" si="2"/>
        <v>-1.4220994046303434E-2</v>
      </c>
    </row>
    <row r="45" spans="2:8" x14ac:dyDescent="0.2">
      <c r="B45" s="9" t="s">
        <v>8</v>
      </c>
      <c r="C45" s="10">
        <v>0.26691459219006664</v>
      </c>
      <c r="D45" s="10">
        <f t="shared" si="0"/>
        <v>2.6691459219006664E-3</v>
      </c>
      <c r="F45" s="11" t="s">
        <v>51</v>
      </c>
      <c r="G45" s="10">
        <v>-1.3287330413426381</v>
      </c>
      <c r="H45" s="12">
        <f t="shared" si="2"/>
        <v>-1.3287330413426382E-2</v>
      </c>
    </row>
    <row r="46" spans="2:8" x14ac:dyDescent="0.2">
      <c r="B46" s="9"/>
      <c r="C46" s="11"/>
      <c r="D46" s="11"/>
      <c r="F46" s="11" t="s">
        <v>52</v>
      </c>
      <c r="G46" s="10">
        <v>-1.3151183324151723</v>
      </c>
      <c r="H46" s="12">
        <f t="shared" si="2"/>
        <v>-1.3151183324151723E-2</v>
      </c>
    </row>
    <row r="47" spans="2:8" x14ac:dyDescent="0.2">
      <c r="F47" s="11" t="s">
        <v>53</v>
      </c>
      <c r="G47" s="10">
        <v>-1.1582778656165043</v>
      </c>
      <c r="H47" s="12">
        <f t="shared" si="2"/>
        <v>-1.1582778656165043E-2</v>
      </c>
    </row>
    <row r="48" spans="2:8" x14ac:dyDescent="0.2">
      <c r="F48" s="11" t="s">
        <v>54</v>
      </c>
      <c r="G48" s="10">
        <v>-1.0800449939025112</v>
      </c>
      <c r="H48" s="12">
        <f t="shared" si="2"/>
        <v>-1.0800449939025111E-2</v>
      </c>
    </row>
    <row r="49" spans="4:8" x14ac:dyDescent="0.2">
      <c r="F49" s="11" t="s">
        <v>55</v>
      </c>
      <c r="G49" s="10">
        <v>-1.0525949446918972</v>
      </c>
      <c r="H49" s="12">
        <f t="shared" si="2"/>
        <v>-1.0525949446918972E-2</v>
      </c>
    </row>
    <row r="50" spans="4:8" x14ac:dyDescent="0.2">
      <c r="F50" s="11" t="s">
        <v>56</v>
      </c>
      <c r="G50" s="10">
        <v>-1.0462247684547883</v>
      </c>
      <c r="H50" s="12">
        <f t="shared" si="2"/>
        <v>-1.0462247684547883E-2</v>
      </c>
    </row>
    <row r="51" spans="4:8" x14ac:dyDescent="0.2">
      <c r="D51" s="1"/>
      <c r="F51" s="11" t="s">
        <v>57</v>
      </c>
      <c r="G51" s="10">
        <v>-0.9934233630383229</v>
      </c>
      <c r="H51" s="12">
        <f t="shared" si="2"/>
        <v>-9.9342336303832289E-3</v>
      </c>
    </row>
    <row r="52" spans="4:8" x14ac:dyDescent="0.2">
      <c r="D52" s="1"/>
      <c r="F52" s="11" t="s">
        <v>58</v>
      </c>
      <c r="G52" s="10">
        <v>-0.94480012320495455</v>
      </c>
      <c r="H52" s="12">
        <f t="shared" si="2"/>
        <v>-9.4480012320495455E-3</v>
      </c>
    </row>
    <row r="53" spans="4:8" x14ac:dyDescent="0.2">
      <c r="D53" s="1"/>
      <c r="F53" s="11" t="s">
        <v>59</v>
      </c>
      <c r="G53" s="10">
        <v>-0.91313455713864933</v>
      </c>
      <c r="H53" s="12">
        <f t="shared" si="2"/>
        <v>-9.1313455713864927E-3</v>
      </c>
    </row>
    <row r="54" spans="4:8" x14ac:dyDescent="0.2">
      <c r="D54" s="1"/>
      <c r="F54" s="11" t="s">
        <v>60</v>
      </c>
      <c r="G54" s="10">
        <v>-0.88760796875471759</v>
      </c>
      <c r="H54" s="12">
        <f t="shared" si="2"/>
        <v>-8.8760796875471757E-3</v>
      </c>
    </row>
    <row r="55" spans="4:8" x14ac:dyDescent="0.2">
      <c r="D55" s="1"/>
      <c r="F55" s="11" t="s">
        <v>61</v>
      </c>
      <c r="G55" s="10">
        <v>-0.86363158213041968</v>
      </c>
      <c r="H55" s="12">
        <f t="shared" si="2"/>
        <v>-8.6363158213041968E-3</v>
      </c>
    </row>
    <row r="56" spans="4:8" x14ac:dyDescent="0.2">
      <c r="D56" s="1"/>
      <c r="F56" s="11" t="s">
        <v>62</v>
      </c>
      <c r="G56" s="10">
        <v>-0.82394246807596072</v>
      </c>
      <c r="H56" s="12">
        <f t="shared" si="2"/>
        <v>-8.2394246807596071E-3</v>
      </c>
    </row>
    <row r="57" spans="4:8" x14ac:dyDescent="0.2">
      <c r="D57" s="1"/>
      <c r="F57" s="11" t="s">
        <v>63</v>
      </c>
      <c r="G57" s="10">
        <v>-0.80720963880194196</v>
      </c>
      <c r="H57" s="12">
        <f t="shared" si="2"/>
        <v>-8.0720963880194195E-3</v>
      </c>
    </row>
    <row r="58" spans="4:8" x14ac:dyDescent="0.2">
      <c r="D58" s="1"/>
      <c r="F58" s="11" t="s">
        <v>64</v>
      </c>
      <c r="G58" s="10">
        <v>-0.80396971241864612</v>
      </c>
      <c r="H58" s="12">
        <f t="shared" si="2"/>
        <v>-8.0396971241864616E-3</v>
      </c>
    </row>
    <row r="59" spans="4:8" x14ac:dyDescent="0.2">
      <c r="D59" s="1"/>
      <c r="F59" s="11" t="s">
        <v>65</v>
      </c>
      <c r="G59" s="10">
        <v>-0.78951331715088058</v>
      </c>
      <c r="H59" s="12">
        <f t="shared" si="2"/>
        <v>-7.8951331715088058E-3</v>
      </c>
    </row>
    <row r="60" spans="4:8" x14ac:dyDescent="0.2">
      <c r="D60" s="1"/>
      <c r="F60" s="11" t="s">
        <v>66</v>
      </c>
      <c r="G60" s="10">
        <v>-0.74349728723121411</v>
      </c>
      <c r="H60" s="12">
        <f t="shared" si="2"/>
        <v>-7.4349728723121407E-3</v>
      </c>
    </row>
    <row r="61" spans="4:8" x14ac:dyDescent="0.2">
      <c r="D61" s="1"/>
      <c r="F61" s="11" t="s">
        <v>67</v>
      </c>
      <c r="G61" s="10">
        <v>-0.74331569052080704</v>
      </c>
      <c r="H61" s="12">
        <f t="shared" si="2"/>
        <v>-7.4331569052080706E-3</v>
      </c>
    </row>
    <row r="62" spans="4:8" x14ac:dyDescent="0.2">
      <c r="D62" s="1"/>
      <c r="F62" s="11" t="s">
        <v>68</v>
      </c>
      <c r="G62" s="10">
        <v>-0.72315341131255173</v>
      </c>
      <c r="H62" s="12">
        <f t="shared" si="2"/>
        <v>-7.2315341131255172E-3</v>
      </c>
    </row>
    <row r="63" spans="4:8" x14ac:dyDescent="0.2">
      <c r="D63" s="1"/>
      <c r="F63" s="11" t="s">
        <v>69</v>
      </c>
      <c r="G63" s="10">
        <v>-0.65722371672863966</v>
      </c>
      <c r="H63" s="12">
        <f t="shared" si="2"/>
        <v>-6.5722371672863964E-3</v>
      </c>
    </row>
    <row r="64" spans="4:8" x14ac:dyDescent="0.2">
      <c r="D64" s="1"/>
      <c r="F64" s="11" t="s">
        <v>70</v>
      </c>
      <c r="G64" s="10">
        <v>-0.65308165430106435</v>
      </c>
      <c r="H64" s="12">
        <f t="shared" si="2"/>
        <v>-6.5308165430106434E-3</v>
      </c>
    </row>
    <row r="65" spans="4:8" x14ac:dyDescent="0.2">
      <c r="D65" s="1"/>
      <c r="F65" s="11" t="s">
        <v>71</v>
      </c>
      <c r="G65" s="10">
        <v>-0.63418766957819195</v>
      </c>
      <c r="H65" s="12">
        <f t="shared" si="2"/>
        <v>-6.3418766957819197E-3</v>
      </c>
    </row>
    <row r="66" spans="4:8" x14ac:dyDescent="0.2">
      <c r="D66" s="1"/>
      <c r="F66" s="11" t="s">
        <v>72</v>
      </c>
      <c r="G66" s="10">
        <v>-0.61693360403735709</v>
      </c>
      <c r="H66" s="12">
        <f t="shared" si="2"/>
        <v>-6.1693360403735709E-3</v>
      </c>
    </row>
    <row r="67" spans="4:8" x14ac:dyDescent="0.2">
      <c r="D67" s="1"/>
      <c r="F67" s="11" t="s">
        <v>73</v>
      </c>
      <c r="G67" s="10">
        <v>-0.53940708587709818</v>
      </c>
      <c r="H67" s="12">
        <f t="shared" si="2"/>
        <v>-5.3940708587709822E-3</v>
      </c>
    </row>
    <row r="68" spans="4:8" x14ac:dyDescent="0.2">
      <c r="D68" s="1"/>
      <c r="F68" s="11" t="s">
        <v>74</v>
      </c>
      <c r="G68" s="10">
        <v>-0.49666988545089319</v>
      </c>
      <c r="H68" s="12">
        <f t="shared" si="2"/>
        <v>-4.9666988545089318E-3</v>
      </c>
    </row>
    <row r="69" spans="4:8" x14ac:dyDescent="0.2">
      <c r="D69" s="1"/>
      <c r="F69" s="11" t="s">
        <v>75</v>
      </c>
      <c r="G69" s="10">
        <v>-0.49503263256976249</v>
      </c>
      <c r="H69" s="12">
        <f t="shared" si="2"/>
        <v>-4.9503263256976248E-3</v>
      </c>
    </row>
    <row r="70" spans="4:8" x14ac:dyDescent="0.2">
      <c r="D70" s="1"/>
      <c r="F70" s="11" t="s">
        <v>76</v>
      </c>
      <c r="G70" s="10">
        <v>-0.48699471027814267</v>
      </c>
      <c r="H70" s="12">
        <f t="shared" si="2"/>
        <v>-4.8699471027814269E-3</v>
      </c>
    </row>
    <row r="71" spans="4:8" x14ac:dyDescent="0.2">
      <c r="D71" s="1"/>
      <c r="F71" s="11" t="s">
        <v>77</v>
      </c>
      <c r="G71" s="10">
        <v>-0.37616461441471311</v>
      </c>
      <c r="H71" s="12">
        <f t="shared" si="2"/>
        <v>-3.7616461441471309E-3</v>
      </c>
    </row>
    <row r="72" spans="4:8" x14ac:dyDescent="0.2">
      <c r="D72" s="1"/>
      <c r="F72" s="11" t="s">
        <v>9</v>
      </c>
      <c r="G72" s="10">
        <v>-0.2553151023128129</v>
      </c>
      <c r="H72" s="12">
        <f t="shared" si="2"/>
        <v>-2.5531510231281292E-3</v>
      </c>
    </row>
    <row r="73" spans="4:8" x14ac:dyDescent="0.2">
      <c r="D73" s="1"/>
      <c r="F73" s="11"/>
      <c r="G73" s="11"/>
      <c r="H73" s="13"/>
    </row>
    <row r="74" spans="4:8" x14ac:dyDescent="0.2">
      <c r="D74" s="1"/>
    </row>
    <row r="75" spans="4:8" x14ac:dyDescent="0.2">
      <c r="D75" s="1"/>
    </row>
    <row r="76" spans="4:8" x14ac:dyDescent="0.2">
      <c r="D76" s="1"/>
      <c r="G76" t="s">
        <v>5</v>
      </c>
    </row>
    <row r="77" spans="4:8" x14ac:dyDescent="0.2">
      <c r="D77" s="1"/>
    </row>
    <row r="78" spans="4:8" x14ac:dyDescent="0.2">
      <c r="D78" s="1"/>
      <c r="H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H175" s="1"/>
    </row>
    <row r="176" spans="4:8" x14ac:dyDescent="0.2"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200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171</v>
      </c>
      <c r="C11" s="10">
        <v>7.9455865026348329</v>
      </c>
      <c r="D11" s="10">
        <f t="shared" ref="D11:D45" si="0">IF(B11="","",(C11/100))</f>
        <v>7.9455865026348327E-2</v>
      </c>
      <c r="F11" s="11" t="s">
        <v>16</v>
      </c>
      <c r="G11" s="10">
        <v>-4.5415037047817943</v>
      </c>
      <c r="H11" s="12">
        <f t="shared" ref="H11:H42" si="1">IF(F11="","",G11/100)</f>
        <v>-4.5415037047817942E-2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172</v>
      </c>
      <c r="C12" s="10">
        <v>6.8708326027263427</v>
      </c>
      <c r="D12" s="10">
        <f t="shared" si="0"/>
        <v>6.8708326027263428E-2</v>
      </c>
      <c r="F12" s="11" t="s">
        <v>17</v>
      </c>
      <c r="G12" s="10">
        <v>-4.4861190140976008</v>
      </c>
      <c r="H12" s="12">
        <f t="shared" si="1"/>
        <v>-4.4861190140976011E-2</v>
      </c>
      <c r="K12" s="9"/>
      <c r="L12" s="11"/>
      <c r="M12" s="11"/>
      <c r="O12" s="11"/>
      <c r="P12" s="11"/>
      <c r="Q12" s="13"/>
    </row>
    <row r="13" spans="1:17" x14ac:dyDescent="0.2">
      <c r="B13" s="9" t="s">
        <v>173</v>
      </c>
      <c r="C13" s="10">
        <v>5.4774151013854411</v>
      </c>
      <c r="D13" s="10">
        <f t="shared" si="0"/>
        <v>5.4774151013854411E-2</v>
      </c>
      <c r="F13" s="11" t="s">
        <v>112</v>
      </c>
      <c r="G13" s="10">
        <v>-4.2197871427778058</v>
      </c>
      <c r="H13" s="12">
        <f t="shared" si="1"/>
        <v>-4.2197871427778061E-2</v>
      </c>
      <c r="I13" s="1"/>
    </row>
    <row r="14" spans="1:17" x14ac:dyDescent="0.2">
      <c r="B14" s="9" t="s">
        <v>174</v>
      </c>
      <c r="C14" s="10">
        <v>4.5116088507663319</v>
      </c>
      <c r="D14" s="10">
        <f t="shared" si="0"/>
        <v>4.511608850766332E-2</v>
      </c>
      <c r="F14" s="11" t="s">
        <v>113</v>
      </c>
      <c r="G14" s="10">
        <v>-4.0709587400507496</v>
      </c>
      <c r="H14" s="12">
        <f t="shared" si="1"/>
        <v>-4.0709587400507494E-2</v>
      </c>
      <c r="I14" s="1"/>
    </row>
    <row r="15" spans="1:17" x14ac:dyDescent="0.2">
      <c r="B15" s="9" t="s">
        <v>175</v>
      </c>
      <c r="C15" s="10">
        <v>3.5422600230505501</v>
      </c>
      <c r="D15" s="10">
        <f t="shared" si="0"/>
        <v>3.5422600230505502E-2</v>
      </c>
      <c r="F15" s="11" t="s">
        <v>114</v>
      </c>
      <c r="G15" s="10">
        <v>-3.7998366529676115</v>
      </c>
      <c r="H15" s="12">
        <f t="shared" si="1"/>
        <v>-3.7998366529676114E-2</v>
      </c>
      <c r="I15" s="1"/>
    </row>
    <row r="16" spans="1:17" x14ac:dyDescent="0.2">
      <c r="B16" s="9" t="s">
        <v>176</v>
      </c>
      <c r="C16" s="10">
        <v>3.5143806042718597</v>
      </c>
      <c r="D16" s="10">
        <f t="shared" si="0"/>
        <v>3.5143806042718599E-2</v>
      </c>
      <c r="F16" s="11" t="s">
        <v>115</v>
      </c>
      <c r="G16" s="10">
        <v>-3.6438888925374049</v>
      </c>
      <c r="H16" s="12">
        <f t="shared" si="1"/>
        <v>-3.6438888925374051E-2</v>
      </c>
      <c r="I16" s="1"/>
    </row>
    <row r="17" spans="2:8" x14ac:dyDescent="0.2">
      <c r="B17" s="9" t="s">
        <v>177</v>
      </c>
      <c r="C17" s="10">
        <v>3.386336187266318</v>
      </c>
      <c r="D17" s="10">
        <f t="shared" si="0"/>
        <v>3.3863361872663179E-2</v>
      </c>
      <c r="F17" s="11" t="s">
        <v>116</v>
      </c>
      <c r="G17" s="10">
        <v>-3.3311301387428793</v>
      </c>
      <c r="H17" s="12">
        <f t="shared" si="1"/>
        <v>-3.3311301387428792E-2</v>
      </c>
    </row>
    <row r="18" spans="2:8" x14ac:dyDescent="0.2">
      <c r="B18" s="9" t="s">
        <v>178</v>
      </c>
      <c r="C18" s="10">
        <v>3.2809192968749947</v>
      </c>
      <c r="D18" s="10">
        <f t="shared" si="0"/>
        <v>3.2809192968749949E-2</v>
      </c>
      <c r="F18" s="11" t="s">
        <v>117</v>
      </c>
      <c r="G18" s="10">
        <v>-3.0770632976275549</v>
      </c>
      <c r="H18" s="12">
        <f t="shared" si="1"/>
        <v>-3.0770632976275549E-2</v>
      </c>
    </row>
    <row r="19" spans="2:8" x14ac:dyDescent="0.2">
      <c r="B19" s="9" t="s">
        <v>179</v>
      </c>
      <c r="C19" s="10">
        <v>3.255709782112409</v>
      </c>
      <c r="D19" s="10">
        <f t="shared" si="0"/>
        <v>3.2557097821124092E-2</v>
      </c>
      <c r="F19" s="11" t="s">
        <v>118</v>
      </c>
      <c r="G19" s="10">
        <v>-3.0406120817445292</v>
      </c>
      <c r="H19" s="12">
        <f t="shared" si="1"/>
        <v>-3.0406120817445294E-2</v>
      </c>
    </row>
    <row r="20" spans="2:8" x14ac:dyDescent="0.2">
      <c r="B20" s="9" t="s">
        <v>180</v>
      </c>
      <c r="C20" s="10">
        <v>3.1398745010833453</v>
      </c>
      <c r="D20" s="10">
        <f t="shared" si="0"/>
        <v>3.1398745010833451E-2</v>
      </c>
      <c r="F20" s="11" t="s">
        <v>119</v>
      </c>
      <c r="G20" s="10">
        <v>-2.9854189323525038</v>
      </c>
      <c r="H20" s="12">
        <f t="shared" si="1"/>
        <v>-2.9854189323525036E-2</v>
      </c>
    </row>
    <row r="21" spans="2:8" x14ac:dyDescent="0.2">
      <c r="B21" s="9" t="s">
        <v>181</v>
      </c>
      <c r="C21" s="10">
        <v>3.0452765229632717</v>
      </c>
      <c r="D21" s="10">
        <f t="shared" si="0"/>
        <v>3.0452765229632715E-2</v>
      </c>
      <c r="F21" s="11" t="s">
        <v>120</v>
      </c>
      <c r="G21" s="10">
        <v>-2.8785752106651246</v>
      </c>
      <c r="H21" s="12">
        <f t="shared" si="1"/>
        <v>-2.8785752106651245E-2</v>
      </c>
    </row>
    <row r="22" spans="2:8" x14ac:dyDescent="0.2">
      <c r="B22" s="9" t="s">
        <v>182</v>
      </c>
      <c r="C22" s="10">
        <v>2.9959320847657147</v>
      </c>
      <c r="D22" s="10">
        <f t="shared" si="0"/>
        <v>2.9959320847657147E-2</v>
      </c>
      <c r="F22" s="11" t="s">
        <v>121</v>
      </c>
      <c r="G22" s="10">
        <v>-2.8589949056764121</v>
      </c>
      <c r="H22" s="12">
        <f t="shared" si="1"/>
        <v>-2.8589949056764121E-2</v>
      </c>
    </row>
    <row r="23" spans="2:8" x14ac:dyDescent="0.2">
      <c r="B23" s="9" t="s">
        <v>183</v>
      </c>
      <c r="C23" s="10">
        <v>2.5778778653644032</v>
      </c>
      <c r="D23" s="10">
        <f t="shared" si="0"/>
        <v>2.5778778653644033E-2</v>
      </c>
      <c r="F23" s="11" t="s">
        <v>122</v>
      </c>
      <c r="G23" s="10">
        <v>-2.7557344041589866</v>
      </c>
      <c r="H23" s="12">
        <f t="shared" si="1"/>
        <v>-2.7557344041589868E-2</v>
      </c>
    </row>
    <row r="24" spans="2:8" x14ac:dyDescent="0.2">
      <c r="B24" s="9" t="s">
        <v>184</v>
      </c>
      <c r="C24" s="10">
        <v>2.5701980540066631</v>
      </c>
      <c r="D24" s="10">
        <f t="shared" si="0"/>
        <v>2.570198054006663E-2</v>
      </c>
      <c r="F24" s="11" t="s">
        <v>123</v>
      </c>
      <c r="G24" s="10">
        <v>-2.7443894379250495</v>
      </c>
      <c r="H24" s="12">
        <f t="shared" si="1"/>
        <v>-2.7443894379250496E-2</v>
      </c>
    </row>
    <row r="25" spans="2:8" x14ac:dyDescent="0.2">
      <c r="B25" s="9" t="s">
        <v>185</v>
      </c>
      <c r="C25" s="10">
        <v>2.2203494692308459</v>
      </c>
      <c r="D25" s="10">
        <f t="shared" si="0"/>
        <v>2.2203494692308458E-2</v>
      </c>
      <c r="F25" s="11" t="s">
        <v>124</v>
      </c>
      <c r="G25" s="10">
        <v>-2.7360279903436027</v>
      </c>
      <c r="H25" s="12">
        <f t="shared" si="1"/>
        <v>-2.7360279903436025E-2</v>
      </c>
    </row>
    <row r="26" spans="2:8" x14ac:dyDescent="0.2">
      <c r="B26" s="9" t="s">
        <v>186</v>
      </c>
      <c r="C26" s="10">
        <v>2.1221052885896698</v>
      </c>
      <c r="D26" s="10">
        <f t="shared" si="0"/>
        <v>2.1221052885896697E-2</v>
      </c>
      <c r="F26" s="11" t="s">
        <v>125</v>
      </c>
      <c r="G26" s="10">
        <v>-2.5203576838404471</v>
      </c>
      <c r="H26" s="12">
        <f t="shared" si="1"/>
        <v>-2.5203576838404473E-2</v>
      </c>
    </row>
    <row r="27" spans="2:8" x14ac:dyDescent="0.2">
      <c r="B27" s="9" t="s">
        <v>187</v>
      </c>
      <c r="C27" s="10">
        <v>2.1070422968944205</v>
      </c>
      <c r="D27" s="10">
        <f t="shared" si="0"/>
        <v>2.1070422968944204E-2</v>
      </c>
      <c r="F27" s="11" t="s">
        <v>126</v>
      </c>
      <c r="G27" s="10">
        <v>-2.5088141142200486</v>
      </c>
      <c r="H27" s="12">
        <f t="shared" si="1"/>
        <v>-2.5088141142200485E-2</v>
      </c>
    </row>
    <row r="28" spans="2:8" x14ac:dyDescent="0.2">
      <c r="B28" s="9" t="s">
        <v>188</v>
      </c>
      <c r="C28" s="10">
        <v>2.0833059263540186</v>
      </c>
      <c r="D28" s="10">
        <f t="shared" si="0"/>
        <v>2.0833059263540187E-2</v>
      </c>
      <c r="F28" s="11" t="s">
        <v>127</v>
      </c>
      <c r="G28" s="10">
        <v>-2.3901766230001549</v>
      </c>
      <c r="H28" s="12">
        <f t="shared" si="1"/>
        <v>-2.390176623000155E-2</v>
      </c>
    </row>
    <row r="29" spans="2:8" x14ac:dyDescent="0.2">
      <c r="B29" s="9" t="s">
        <v>189</v>
      </c>
      <c r="C29" s="10">
        <v>2.067807872177946</v>
      </c>
      <c r="D29" s="10">
        <f t="shared" si="0"/>
        <v>2.0678078721779462E-2</v>
      </c>
      <c r="F29" s="11" t="s">
        <v>128</v>
      </c>
      <c r="G29" s="10">
        <v>-2.330264121003145</v>
      </c>
      <c r="H29" s="12">
        <f t="shared" si="1"/>
        <v>-2.330264121003145E-2</v>
      </c>
    </row>
    <row r="30" spans="2:8" x14ac:dyDescent="0.2">
      <c r="B30" s="9" t="s">
        <v>190</v>
      </c>
      <c r="C30" s="10">
        <v>1.9805874045425345</v>
      </c>
      <c r="D30" s="10">
        <f t="shared" si="0"/>
        <v>1.9805874045425345E-2</v>
      </c>
      <c r="F30" s="11" t="s">
        <v>129</v>
      </c>
      <c r="G30" s="10">
        <v>-2.1837118284709063</v>
      </c>
      <c r="H30" s="12">
        <f t="shared" si="1"/>
        <v>-2.1837118284709064E-2</v>
      </c>
    </row>
    <row r="31" spans="2:8" x14ac:dyDescent="0.2">
      <c r="B31" s="9" t="s">
        <v>191</v>
      </c>
      <c r="C31" s="10">
        <v>1.9712322914691018</v>
      </c>
      <c r="D31" s="10">
        <f t="shared" si="0"/>
        <v>1.9712322914691018E-2</v>
      </c>
      <c r="F31" s="11" t="s">
        <v>130</v>
      </c>
      <c r="G31" s="10">
        <v>-2.0933344605618776</v>
      </c>
      <c r="H31" s="12">
        <f t="shared" si="1"/>
        <v>-2.0933344605618777E-2</v>
      </c>
    </row>
    <row r="32" spans="2:8" x14ac:dyDescent="0.2">
      <c r="B32" s="9" t="s">
        <v>192</v>
      </c>
      <c r="C32" s="10">
        <v>1.9620033078177137</v>
      </c>
      <c r="D32" s="10">
        <f t="shared" si="0"/>
        <v>1.9620033078177137E-2</v>
      </c>
      <c r="F32" s="11" t="s">
        <v>131</v>
      </c>
      <c r="G32" s="10">
        <v>-2.049956266985248</v>
      </c>
      <c r="H32" s="12">
        <f t="shared" si="1"/>
        <v>-2.0499562669852481E-2</v>
      </c>
    </row>
    <row r="33" spans="2:8" x14ac:dyDescent="0.2">
      <c r="B33" s="9" t="s">
        <v>193</v>
      </c>
      <c r="C33" s="10">
        <v>1.9112837583787572</v>
      </c>
      <c r="D33" s="10">
        <f t="shared" si="0"/>
        <v>1.9112837583787571E-2</v>
      </c>
      <c r="F33" s="11" t="s">
        <v>132</v>
      </c>
      <c r="G33" s="10">
        <v>-1.9173153634029931</v>
      </c>
      <c r="H33" s="12">
        <f t="shared" si="1"/>
        <v>-1.9173153634029931E-2</v>
      </c>
    </row>
    <row r="34" spans="2:8" x14ac:dyDescent="0.2">
      <c r="B34" s="9" t="s">
        <v>194</v>
      </c>
      <c r="C34" s="10">
        <v>1.7087813031835299</v>
      </c>
      <c r="D34" s="10">
        <f t="shared" si="0"/>
        <v>1.7087813031835299E-2</v>
      </c>
      <c r="F34" s="11" t="s">
        <v>133</v>
      </c>
      <c r="G34" s="10">
        <v>-1.9047052013576999</v>
      </c>
      <c r="H34" s="12">
        <f t="shared" si="1"/>
        <v>-1.9047052013576999E-2</v>
      </c>
    </row>
    <row r="35" spans="2:8" x14ac:dyDescent="0.2">
      <c r="B35" s="9" t="s">
        <v>195</v>
      </c>
      <c r="C35" s="10">
        <v>1.6636507013514712</v>
      </c>
      <c r="D35" s="10">
        <f t="shared" si="0"/>
        <v>1.6636507013514712E-2</v>
      </c>
      <c r="F35" s="11" t="s">
        <v>134</v>
      </c>
      <c r="G35" s="10">
        <v>-1.7047066909626769</v>
      </c>
      <c r="H35" s="12">
        <f t="shared" si="1"/>
        <v>-1.7047066909626769E-2</v>
      </c>
    </row>
    <row r="36" spans="2:8" x14ac:dyDescent="0.2">
      <c r="B36" s="9" t="s">
        <v>196</v>
      </c>
      <c r="C36" s="10">
        <v>1.2449030995900259</v>
      </c>
      <c r="D36" s="10">
        <f t="shared" si="0"/>
        <v>1.2449030995900258E-2</v>
      </c>
      <c r="F36" s="11" t="s">
        <v>135</v>
      </c>
      <c r="G36" s="10">
        <v>-1.7009970016551186</v>
      </c>
      <c r="H36" s="12">
        <f t="shared" si="1"/>
        <v>-1.7009970016551187E-2</v>
      </c>
    </row>
    <row r="37" spans="2:8" x14ac:dyDescent="0.2">
      <c r="B37" s="9" t="s">
        <v>197</v>
      </c>
      <c r="C37" s="10">
        <v>1.1688977421281732</v>
      </c>
      <c r="D37" s="10">
        <f t="shared" si="0"/>
        <v>1.1688977421281731E-2</v>
      </c>
      <c r="F37" s="11" t="s">
        <v>136</v>
      </c>
      <c r="G37" s="10">
        <v>-1.6646529422436704</v>
      </c>
      <c r="H37" s="12">
        <f t="shared" si="1"/>
        <v>-1.6646529422436704E-2</v>
      </c>
    </row>
    <row r="38" spans="2:8" x14ac:dyDescent="0.2">
      <c r="B38" s="9" t="s">
        <v>198</v>
      </c>
      <c r="C38" s="10">
        <v>1.1155702106868339</v>
      </c>
      <c r="D38" s="10">
        <f t="shared" si="0"/>
        <v>1.1155702106868339E-2</v>
      </c>
      <c r="F38" s="11" t="s">
        <v>137</v>
      </c>
      <c r="G38" s="10">
        <v>-1.6390832606721104</v>
      </c>
      <c r="H38" s="12">
        <f t="shared" si="1"/>
        <v>-1.6390832606721105E-2</v>
      </c>
    </row>
    <row r="39" spans="2:8" x14ac:dyDescent="0.2">
      <c r="B39" s="9" t="s">
        <v>199</v>
      </c>
      <c r="C39" s="10">
        <v>0.99648369998180264</v>
      </c>
      <c r="D39" s="10">
        <f t="shared" si="0"/>
        <v>9.9648369998180265E-3</v>
      </c>
      <c r="F39" s="11" t="s">
        <v>138</v>
      </c>
      <c r="G39" s="10">
        <v>-1.5891074135949554</v>
      </c>
      <c r="H39" s="12">
        <f t="shared" si="1"/>
        <v>-1.5891074135949555E-2</v>
      </c>
    </row>
    <row r="40" spans="2:8" x14ac:dyDescent="0.2">
      <c r="B40" s="9" t="s">
        <v>200</v>
      </c>
      <c r="C40" s="10">
        <v>0.82817958052775298</v>
      </c>
      <c r="D40" s="10">
        <f t="shared" si="0"/>
        <v>8.2817958052775302E-3</v>
      </c>
      <c r="F40" s="11" t="s">
        <v>139</v>
      </c>
      <c r="G40" s="10">
        <v>-1.4892150986824619</v>
      </c>
      <c r="H40" s="12">
        <f t="shared" si="1"/>
        <v>-1.489215098682462E-2</v>
      </c>
    </row>
    <row r="41" spans="2:8" x14ac:dyDescent="0.2">
      <c r="B41" s="9" t="s">
        <v>201</v>
      </c>
      <c r="C41" s="10">
        <v>0.57436012889926524</v>
      </c>
      <c r="D41" s="10">
        <f t="shared" si="0"/>
        <v>5.7436012889926528E-3</v>
      </c>
      <c r="F41" s="11" t="s">
        <v>140</v>
      </c>
      <c r="G41" s="10">
        <v>-1.478054539584212</v>
      </c>
      <c r="H41" s="12">
        <f t="shared" si="1"/>
        <v>-1.478054539584212E-2</v>
      </c>
    </row>
    <row r="42" spans="2:8" x14ac:dyDescent="0.2">
      <c r="B42" s="9" t="s">
        <v>202</v>
      </c>
      <c r="C42" s="10">
        <v>0.5641928749820676</v>
      </c>
      <c r="D42" s="10">
        <f t="shared" si="0"/>
        <v>5.6419287498206761E-3</v>
      </c>
      <c r="F42" s="11" t="s">
        <v>141</v>
      </c>
      <c r="G42" s="10">
        <v>-1.4488183339549083</v>
      </c>
      <c r="H42" s="12">
        <f t="shared" si="1"/>
        <v>-1.4488183339549083E-2</v>
      </c>
    </row>
    <row r="43" spans="2:8" x14ac:dyDescent="0.2">
      <c r="B43" s="9" t="s">
        <v>203</v>
      </c>
      <c r="C43" s="10">
        <v>0.40492030938330448</v>
      </c>
      <c r="D43" s="10">
        <f t="shared" si="0"/>
        <v>4.049203093833045E-3</v>
      </c>
      <c r="F43" s="11" t="s">
        <v>142</v>
      </c>
      <c r="G43" s="10">
        <v>-1.4375635175164947</v>
      </c>
      <c r="H43" s="12">
        <f t="shared" ref="H43:H74" si="2">IF(F43="","",G43/100)</f>
        <v>-1.4375635175164946E-2</v>
      </c>
    </row>
    <row r="44" spans="2:8" x14ac:dyDescent="0.2">
      <c r="B44" s="9" t="s">
        <v>204</v>
      </c>
      <c r="C44" s="10">
        <v>0.28028407349629625</v>
      </c>
      <c r="D44" s="10">
        <f t="shared" si="0"/>
        <v>2.8028407349629625E-3</v>
      </c>
      <c r="F44" s="11" t="s">
        <v>143</v>
      </c>
      <c r="G44" s="10">
        <v>-1.4220994046303435</v>
      </c>
      <c r="H44" s="12">
        <f t="shared" si="2"/>
        <v>-1.4220994046303434E-2</v>
      </c>
    </row>
    <row r="45" spans="2:8" x14ac:dyDescent="0.2">
      <c r="B45" s="9" t="s">
        <v>13</v>
      </c>
      <c r="C45" s="10">
        <v>0.26691459219006664</v>
      </c>
      <c r="D45" s="10">
        <f t="shared" si="0"/>
        <v>2.6691459219006664E-3</v>
      </c>
      <c r="F45" s="11" t="s">
        <v>144</v>
      </c>
      <c r="G45" s="10">
        <v>-1.3287330413426381</v>
      </c>
      <c r="H45" s="12">
        <f t="shared" si="2"/>
        <v>-1.3287330413426382E-2</v>
      </c>
    </row>
    <row r="46" spans="2:8" x14ac:dyDescent="0.2">
      <c r="B46" s="9"/>
      <c r="C46" s="11"/>
      <c r="D46" s="11"/>
      <c r="F46" s="11" t="s">
        <v>145</v>
      </c>
      <c r="G46" s="10">
        <v>-1.3151183324151723</v>
      </c>
      <c r="H46" s="12">
        <f t="shared" si="2"/>
        <v>-1.3151183324151723E-2</v>
      </c>
    </row>
    <row r="47" spans="2:8" x14ac:dyDescent="0.2">
      <c r="F47" s="11" t="s">
        <v>146</v>
      </c>
      <c r="G47" s="10">
        <v>-1.1582778656165043</v>
      </c>
      <c r="H47" s="12">
        <f t="shared" si="2"/>
        <v>-1.1582778656165043E-2</v>
      </c>
    </row>
    <row r="48" spans="2:8" x14ac:dyDescent="0.2">
      <c r="F48" s="11" t="s">
        <v>147</v>
      </c>
      <c r="G48" s="10">
        <v>-1.0800449939025112</v>
      </c>
      <c r="H48" s="12">
        <f t="shared" si="2"/>
        <v>-1.0800449939025111E-2</v>
      </c>
    </row>
    <row r="49" spans="4:8" x14ac:dyDescent="0.2">
      <c r="F49" s="11" t="s">
        <v>148</v>
      </c>
      <c r="G49" s="10">
        <v>-1.0525949446918972</v>
      </c>
      <c r="H49" s="12">
        <f t="shared" si="2"/>
        <v>-1.0525949446918972E-2</v>
      </c>
    </row>
    <row r="50" spans="4:8" x14ac:dyDescent="0.2">
      <c r="F50" s="11" t="s">
        <v>149</v>
      </c>
      <c r="G50" s="10">
        <v>-1.0462247684547883</v>
      </c>
      <c r="H50" s="12">
        <f t="shared" si="2"/>
        <v>-1.0462247684547883E-2</v>
      </c>
    </row>
    <row r="51" spans="4:8" x14ac:dyDescent="0.2">
      <c r="D51" s="1"/>
      <c r="F51" s="11" t="s">
        <v>150</v>
      </c>
      <c r="G51" s="10">
        <v>-0.9934233630383229</v>
      </c>
      <c r="H51" s="12">
        <f t="shared" si="2"/>
        <v>-9.9342336303832289E-3</v>
      </c>
    </row>
    <row r="52" spans="4:8" x14ac:dyDescent="0.2">
      <c r="D52" s="1"/>
      <c r="F52" s="11" t="s">
        <v>151</v>
      </c>
      <c r="G52" s="10">
        <v>-0.94480012320495455</v>
      </c>
      <c r="H52" s="12">
        <f t="shared" si="2"/>
        <v>-9.4480012320495455E-3</v>
      </c>
    </row>
    <row r="53" spans="4:8" x14ac:dyDescent="0.2">
      <c r="D53" s="1"/>
      <c r="F53" s="11" t="s">
        <v>152</v>
      </c>
      <c r="G53" s="10">
        <v>-0.91313455713864933</v>
      </c>
      <c r="H53" s="12">
        <f t="shared" si="2"/>
        <v>-9.1313455713864927E-3</v>
      </c>
    </row>
    <row r="54" spans="4:8" x14ac:dyDescent="0.2">
      <c r="D54" s="1"/>
      <c r="F54" s="11" t="s">
        <v>153</v>
      </c>
      <c r="G54" s="10">
        <v>-0.88760796875471759</v>
      </c>
      <c r="H54" s="12">
        <f t="shared" si="2"/>
        <v>-8.8760796875471757E-3</v>
      </c>
    </row>
    <row r="55" spans="4:8" x14ac:dyDescent="0.2">
      <c r="D55" s="1"/>
      <c r="F55" s="11" t="s">
        <v>154</v>
      </c>
      <c r="G55" s="10">
        <v>-0.86363158213041968</v>
      </c>
      <c r="H55" s="12">
        <f t="shared" si="2"/>
        <v>-8.6363158213041968E-3</v>
      </c>
    </row>
    <row r="56" spans="4:8" x14ac:dyDescent="0.2">
      <c r="D56" s="1"/>
      <c r="F56" s="11" t="s">
        <v>155</v>
      </c>
      <c r="G56" s="10">
        <v>-0.82394246807596072</v>
      </c>
      <c r="H56" s="12">
        <f t="shared" si="2"/>
        <v>-8.2394246807596071E-3</v>
      </c>
    </row>
    <row r="57" spans="4:8" x14ac:dyDescent="0.2">
      <c r="D57" s="1"/>
      <c r="F57" s="11" t="s">
        <v>156</v>
      </c>
      <c r="G57" s="10">
        <v>-0.80720963880194196</v>
      </c>
      <c r="H57" s="12">
        <f t="shared" si="2"/>
        <v>-8.0720963880194195E-3</v>
      </c>
    </row>
    <row r="58" spans="4:8" x14ac:dyDescent="0.2">
      <c r="D58" s="1"/>
      <c r="F58" s="11" t="s">
        <v>157</v>
      </c>
      <c r="G58" s="10">
        <v>-0.80396971241864612</v>
      </c>
      <c r="H58" s="12">
        <f t="shared" si="2"/>
        <v>-8.0396971241864616E-3</v>
      </c>
    </row>
    <row r="59" spans="4:8" x14ac:dyDescent="0.2">
      <c r="D59" s="1"/>
      <c r="F59" s="11" t="s">
        <v>158</v>
      </c>
      <c r="G59" s="10">
        <v>-0.78951331715088058</v>
      </c>
      <c r="H59" s="12">
        <f t="shared" si="2"/>
        <v>-7.8951331715088058E-3</v>
      </c>
    </row>
    <row r="60" spans="4:8" x14ac:dyDescent="0.2">
      <c r="D60" s="1"/>
      <c r="F60" s="11" t="s">
        <v>159</v>
      </c>
      <c r="G60" s="10">
        <v>-0.74349728723121411</v>
      </c>
      <c r="H60" s="12">
        <f t="shared" si="2"/>
        <v>-7.4349728723121407E-3</v>
      </c>
    </row>
    <row r="61" spans="4:8" x14ac:dyDescent="0.2">
      <c r="D61" s="1"/>
      <c r="F61" s="11" t="s">
        <v>160</v>
      </c>
      <c r="G61" s="10">
        <v>-0.74331569052080704</v>
      </c>
      <c r="H61" s="12">
        <f t="shared" si="2"/>
        <v>-7.4331569052080706E-3</v>
      </c>
    </row>
    <row r="62" spans="4:8" x14ac:dyDescent="0.2">
      <c r="D62" s="1"/>
      <c r="F62" s="11" t="s">
        <v>161</v>
      </c>
      <c r="G62" s="10">
        <v>-0.72315341131255173</v>
      </c>
      <c r="H62" s="12">
        <f t="shared" si="2"/>
        <v>-7.2315341131255172E-3</v>
      </c>
    </row>
    <row r="63" spans="4:8" x14ac:dyDescent="0.2">
      <c r="D63" s="1"/>
      <c r="F63" s="11" t="s">
        <v>162</v>
      </c>
      <c r="G63" s="10">
        <v>-0.65722371672863966</v>
      </c>
      <c r="H63" s="12">
        <f t="shared" si="2"/>
        <v>-6.5722371672863964E-3</v>
      </c>
    </row>
    <row r="64" spans="4:8" x14ac:dyDescent="0.2">
      <c r="D64" s="1"/>
      <c r="F64" s="11" t="s">
        <v>163</v>
      </c>
      <c r="G64" s="10">
        <v>-0.65308165430106435</v>
      </c>
      <c r="H64" s="12">
        <f t="shared" si="2"/>
        <v>-6.5308165430106434E-3</v>
      </c>
    </row>
    <row r="65" spans="4:8" x14ac:dyDescent="0.2">
      <c r="D65" s="1"/>
      <c r="F65" s="11" t="s">
        <v>164</v>
      </c>
      <c r="G65" s="10">
        <v>-0.63418766957819195</v>
      </c>
      <c r="H65" s="12">
        <f t="shared" si="2"/>
        <v>-6.3418766957819197E-3</v>
      </c>
    </row>
    <row r="66" spans="4:8" x14ac:dyDescent="0.2">
      <c r="D66" s="1"/>
      <c r="F66" s="11" t="s">
        <v>165</v>
      </c>
      <c r="G66" s="10">
        <v>-0.61693360403735709</v>
      </c>
      <c r="H66" s="12">
        <f t="shared" si="2"/>
        <v>-6.1693360403735709E-3</v>
      </c>
    </row>
    <row r="67" spans="4:8" x14ac:dyDescent="0.2">
      <c r="D67" s="1"/>
      <c r="F67" s="11" t="s">
        <v>166</v>
      </c>
      <c r="G67" s="10">
        <v>-0.53940708587709818</v>
      </c>
      <c r="H67" s="12">
        <f t="shared" si="2"/>
        <v>-5.3940708587709822E-3</v>
      </c>
    </row>
    <row r="68" spans="4:8" x14ac:dyDescent="0.2">
      <c r="D68" s="1"/>
      <c r="F68" s="11" t="s">
        <v>167</v>
      </c>
      <c r="G68" s="10">
        <v>-0.49666988545089319</v>
      </c>
      <c r="H68" s="12">
        <f t="shared" si="2"/>
        <v>-4.9666988545089318E-3</v>
      </c>
    </row>
    <row r="69" spans="4:8" x14ac:dyDescent="0.2">
      <c r="D69" s="1"/>
      <c r="F69" s="11" t="s">
        <v>168</v>
      </c>
      <c r="G69" s="10">
        <v>-0.49503263256976249</v>
      </c>
      <c r="H69" s="12">
        <f t="shared" si="2"/>
        <v>-4.9503263256976248E-3</v>
      </c>
    </row>
    <row r="70" spans="4:8" x14ac:dyDescent="0.2">
      <c r="D70" s="1"/>
      <c r="F70" s="11" t="s">
        <v>169</v>
      </c>
      <c r="G70" s="10">
        <v>-0.48699471027814267</v>
      </c>
      <c r="H70" s="12">
        <f t="shared" si="2"/>
        <v>-4.8699471027814269E-3</v>
      </c>
    </row>
    <row r="71" spans="4:8" x14ac:dyDescent="0.2">
      <c r="D71" s="1"/>
      <c r="F71" s="11" t="s">
        <v>170</v>
      </c>
      <c r="G71" s="10">
        <v>-0.37616461441471311</v>
      </c>
      <c r="H71" s="12">
        <f t="shared" si="2"/>
        <v>-3.7616461441471309E-3</v>
      </c>
    </row>
    <row r="72" spans="4:8" x14ac:dyDescent="0.2">
      <c r="D72" s="1"/>
      <c r="F72" s="11" t="s">
        <v>14</v>
      </c>
      <c r="G72" s="10">
        <v>-0.2553151023128129</v>
      </c>
      <c r="H72" s="12">
        <f t="shared" si="2"/>
        <v>-2.5531510231281292E-3</v>
      </c>
    </row>
    <row r="73" spans="4:8" x14ac:dyDescent="0.2">
      <c r="D73" s="1"/>
      <c r="F73" s="11"/>
      <c r="G73" s="11"/>
      <c r="H73" s="13"/>
    </row>
    <row r="74" spans="4:8" x14ac:dyDescent="0.2">
      <c r="D74" s="1"/>
    </row>
    <row r="75" spans="4:8" x14ac:dyDescent="0.2">
      <c r="D75" s="1"/>
    </row>
    <row r="76" spans="4:8" x14ac:dyDescent="0.2">
      <c r="D76" s="1"/>
      <c r="G76" t="s">
        <v>5</v>
      </c>
    </row>
    <row r="77" spans="4:8" x14ac:dyDescent="0.2">
      <c r="D77" s="1"/>
    </row>
    <row r="78" spans="4:8" x14ac:dyDescent="0.2">
      <c r="D78" s="1"/>
      <c r="H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H175" s="1"/>
    </row>
    <row r="176" spans="4:8" x14ac:dyDescent="0.2"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2026-04-29T13:29:03Z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{"begin":"4/17/2026", "end":"4/17/2026", "periodicity":"Weekday"}</vt:lpwstr>
  </property>
  <property fmtid="{D5CDD505-2E9C-101B-9397-08002B2CF9AE}" pid="10" name="filterspec">
    <vt:lpwstr/>
  </property>
  <property fmtid="{D5CDD505-2E9C-101B-9397-08002B2CF9AE}" pid="11" name="identifier">
    <vt:lpwstr>5db5dfe1</vt:lpwstr>
  </property>
  <property fmtid="{D5CDD505-2E9C-101B-9397-08002B2CF9AE}" pid="12" name="beaconPortfolio">
    <vt:lpwstr>LKP_MASTER__PORT_20260417233939</vt:lpwstr>
  </property>
</Properties>
</file>