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8_{6822A65C-14CD-D34E-9BE9-DE20CBCA263F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D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<sst xmlns="http://schemas.openxmlformats.org/spreadsheetml/2006/main" count="232" uniqueCount="201">
  <si>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</si>
  <si>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</si>
  <si>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</si>
  <si>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</si>
  <si>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</si>
  <si>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</si>
  <si>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</si>
  <si>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</si>
  <si>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DASH</t>
  </si>
  <si>
    <t>NOKIA</t>
  </si>
  <si>
    <t>FICO</t>
  </si>
  <si>
    <t/>
  </si>
  <si>
    <t>Manticore Master Fund</t>
  </si>
  <si>
    <t>DASH US 01/15/27 P150 OTC (DASH 1/15/27 P150 OTC)</t>
  </si>
  <si>
    <t>NOKIA ADR REPSG 1 SER A ORD (NYS)</t>
  </si>
  <si>
    <t>Instrument</t>
  </si>
  <si>
    <t>FAIR ISAAC ORD (NYS)</t>
  </si>
  <si>
    <t>PUBLICIS GROUPE ORD (PAR) CFD</t>
  </si>
  <si>
    <t>PUBP</t>
  </si>
  <si>
    <t>CTAS</t>
  </si>
  <si>
    <t>HQY</t>
  </si>
  <si>
    <t>ADSK</t>
  </si>
  <si>
    <t>7751</t>
  </si>
  <si>
    <t>AAPL</t>
  </si>
  <si>
    <t>EXPE</t>
  </si>
  <si>
    <t>LAMR</t>
  </si>
  <si>
    <t>IBM</t>
  </si>
  <si>
    <t>CSU</t>
  </si>
  <si>
    <t>MANH</t>
  </si>
  <si>
    <t>6098</t>
  </si>
  <si>
    <t>ARMK</t>
  </si>
  <si>
    <t>PINS</t>
  </si>
  <si>
    <t>GRMN</t>
  </si>
  <si>
    <t>EFX</t>
  </si>
  <si>
    <t>VRSK</t>
  </si>
  <si>
    <t>8136</t>
  </si>
  <si>
    <t>LOGI</t>
  </si>
  <si>
    <t>WSM</t>
  </si>
  <si>
    <t>EXLS</t>
  </si>
  <si>
    <t>TTAN</t>
  </si>
  <si>
    <t>NOW</t>
  </si>
  <si>
    <t>REA</t>
  </si>
  <si>
    <t>BKNG</t>
  </si>
  <si>
    <t>IT</t>
  </si>
  <si>
    <t>IOT</t>
  </si>
  <si>
    <t>ADP</t>
  </si>
  <si>
    <t>DUOL</t>
  </si>
  <si>
    <t>FNF</t>
  </si>
  <si>
    <t>RHI</t>
  </si>
  <si>
    <t>CIEN</t>
  </si>
  <si>
    <t>ANET</t>
  </si>
  <si>
    <t>GEV</t>
  </si>
  <si>
    <t>CARG</t>
  </si>
  <si>
    <t>ALAB</t>
  </si>
  <si>
    <t>COIN</t>
  </si>
  <si>
    <t>EBAY</t>
  </si>
  <si>
    <t>FAF</t>
  </si>
  <si>
    <t>LOPE</t>
  </si>
  <si>
    <t>CHH</t>
  </si>
  <si>
    <t>ADBE</t>
  </si>
  <si>
    <t>SYM</t>
  </si>
  <si>
    <t>NBIS</t>
  </si>
  <si>
    <t>QLYS</t>
  </si>
  <si>
    <t>DOCN</t>
  </si>
  <si>
    <t>CRWV</t>
  </si>
  <si>
    <t>CHYM</t>
  </si>
  <si>
    <t>SLM</t>
  </si>
  <si>
    <t>SEZL</t>
  </si>
  <si>
    <t>OPEN</t>
  </si>
  <si>
    <t>3034</t>
  </si>
  <si>
    <t>TEPRF</t>
  </si>
  <si>
    <t>CNXC</t>
  </si>
  <si>
    <t>SITM</t>
  </si>
  <si>
    <t>XYZ</t>
  </si>
  <si>
    <t>TSM</t>
  </si>
  <si>
    <t>TRMB</t>
  </si>
  <si>
    <t>ETN</t>
  </si>
  <si>
    <t>GOOG</t>
  </si>
  <si>
    <t>INTU</t>
  </si>
  <si>
    <t>IRM</t>
  </si>
  <si>
    <t>W</t>
  </si>
  <si>
    <t>LYFT</t>
  </si>
  <si>
    <t>RACE</t>
  </si>
  <si>
    <t>ZBRA</t>
  </si>
  <si>
    <t>005930</t>
  </si>
  <si>
    <t>AG1G</t>
  </si>
  <si>
    <t>6752</t>
  </si>
  <si>
    <t>AMZN</t>
  </si>
  <si>
    <t>000660</t>
  </si>
  <si>
    <t>HPE</t>
  </si>
  <si>
    <t>SAPG</t>
  </si>
  <si>
    <t>GLBE</t>
  </si>
  <si>
    <t>ZETA</t>
  </si>
  <si>
    <t>PCOR</t>
  </si>
  <si>
    <t>6857</t>
  </si>
  <si>
    <t>TSLA</t>
  </si>
  <si>
    <t>APP</t>
  </si>
  <si>
    <t>NOD</t>
  </si>
  <si>
    <t>Z</t>
  </si>
  <si>
    <t>AMAT</t>
  </si>
  <si>
    <t>SPHR</t>
  </si>
  <si>
    <t>STM</t>
  </si>
  <si>
    <t>CART</t>
  </si>
  <si>
    <t>TER</t>
  </si>
  <si>
    <t>ACM</t>
  </si>
  <si>
    <t>NXPI</t>
  </si>
  <si>
    <t>RBLX</t>
  </si>
  <si>
    <t>LION</t>
  </si>
  <si>
    <t>META</t>
  </si>
  <si>
    <t>CINTAS ORD (NMS)</t>
  </si>
  <si>
    <t>HEALTHEQUITY ORD (NMS)</t>
  </si>
  <si>
    <t>AUTODESK ORD (NMS)</t>
  </si>
  <si>
    <t>CANON ORD (TYO) CFD</t>
  </si>
  <si>
    <t>APPLE ORD (NMS)</t>
  </si>
  <si>
    <t>EXPEDIA GROUP ORD (NMS)</t>
  </si>
  <si>
    <t>LAMAR ADVERTISING CL A REIT (NMS)</t>
  </si>
  <si>
    <t>INTERNATIONAL BUSINESS MACHINES ORD (NYS)</t>
  </si>
  <si>
    <t>CONSTELLATION SOFTWARE ORD (TOR)</t>
  </si>
  <si>
    <t>MANHATTAN ASSOCIATES ORD (NMS)</t>
  </si>
  <si>
    <t>RECRUIT HOLDINGS CO LTD (TYO) CFD</t>
  </si>
  <si>
    <t>ARAMARK ORD (NYS)</t>
  </si>
  <si>
    <t>PINTEREST CL A ORD (NYS)</t>
  </si>
  <si>
    <t>GARMIN ORD (NYS)</t>
  </si>
  <si>
    <t>EQUIFAX ORD (NYS)</t>
  </si>
  <si>
    <t>VERISK ANALYTICS ORD (NMS)</t>
  </si>
  <si>
    <t>SANRIO ORD (TYO) CFD</t>
  </si>
  <si>
    <t>LOGITECH N ORD (NMS)</t>
  </si>
  <si>
    <t>WILLIAMS SONOMA ORD (NYS)</t>
  </si>
  <si>
    <t>EXLSERVICE HOLDINGS ORD (NMS)</t>
  </si>
  <si>
    <t>SERVICETITAN CL A ORD (NMS)</t>
  </si>
  <si>
    <t>SERVICENOW ORD (NYS)</t>
  </si>
  <si>
    <t>REA GROUP ORD (ASX) CFD</t>
  </si>
  <si>
    <t>BOOKING HOLDINGS ORD (NMS)</t>
  </si>
  <si>
    <t>GARTNER ORD (NYS)</t>
  </si>
  <si>
    <t>SAMSARA CL A ORD (NYS)</t>
  </si>
  <si>
    <t>AUTOMATIC DATA PROCESSING ORD (NMS)</t>
  </si>
  <si>
    <t>DUOLINGO CL A ORD (NMS)</t>
  </si>
  <si>
    <t>FIDELITY NATIONAL FINANCIAL ORD (NYS)</t>
  </si>
  <si>
    <t>ROBERT HALF ORD (NYS)</t>
  </si>
  <si>
    <t>CIENA ORD (NYS)</t>
  </si>
  <si>
    <t>ARISTA NETWORKS ORD (NYS)</t>
  </si>
  <si>
    <t>GE VERNOVA ORD (NYS)</t>
  </si>
  <si>
    <t>CARGURUS CL A ORD (NMS)</t>
  </si>
  <si>
    <t>ASTERA LABS ORD (NMS)</t>
  </si>
  <si>
    <t>COINBASE GLOBAL CL A ORD (NMS)</t>
  </si>
  <si>
    <t>EBAY ORD (NMS)</t>
  </si>
  <si>
    <t>FIRST AMERICAN FINANCIAL ORD (NYS)</t>
  </si>
  <si>
    <t>GRAND CANYON EDUCATION ORD (NMS)</t>
  </si>
  <si>
    <t>CHOICE HOTELS INTERNATIONAL ORD (NYS)</t>
  </si>
  <si>
    <t>ADOBE ORD (NMS)</t>
  </si>
  <si>
    <t>SYMBOTIC CL A ORD (NMS)</t>
  </si>
  <si>
    <t>NEBIUS CL A ORD (NMS)</t>
  </si>
  <si>
    <t>QUALYS ORD (NMS)</t>
  </si>
  <si>
    <t>DIGITALOCEAN HOLDINGS ORD (NYS)</t>
  </si>
  <si>
    <t>COREWEAVE CL A ORD (NMS)</t>
  </si>
  <si>
    <t>CHIME FINANCIAL CL A ORD (NMS)</t>
  </si>
  <si>
    <t>SLM ORD (NMS)</t>
  </si>
  <si>
    <t>SEZZLE INC (NMS)</t>
  </si>
  <si>
    <t>OPENDOOR TECHNOLOGIES ORD (NMS)</t>
  </si>
  <si>
    <t>NOVATEK MICROELE ORD (TAI) CFD_USD</t>
  </si>
  <si>
    <t>META US 01/15/27 C720 OTC (META 1/15/27 C720 OTC)</t>
  </si>
  <si>
    <t>TELEPERFORMANCE ORD (PAR) CFD</t>
  </si>
  <si>
    <t>CONCENTRIX ORD (NMS)</t>
  </si>
  <si>
    <t>SITIME ORD (NMS)</t>
  </si>
  <si>
    <t>BLOCK CL A ORD (NYS)</t>
  </si>
  <si>
    <t>TWN SEMICONT MAN ORD (TAI) CFD_USD</t>
  </si>
  <si>
    <t>TRIMBLE ORD (NMS)</t>
  </si>
  <si>
    <t>EATON ORD (NYS)</t>
  </si>
  <si>
    <t>ALPHABET CL A ORD (NMS)</t>
  </si>
  <si>
    <t>INTUIT ORD (NMS)</t>
  </si>
  <si>
    <t>IRON MOUNTAIN ORD (NYS)</t>
  </si>
  <si>
    <t>WAYFAIR CL A ORD (NYS)</t>
  </si>
  <si>
    <t>LYFT CL A ORD (NMS)</t>
  </si>
  <si>
    <t>ZEBRA TECHNOLOGIES CL A ORD (NMS)</t>
  </si>
  <si>
    <t>SAMSUNG ELECTR ORD (KSC) CFD_USD</t>
  </si>
  <si>
    <t>AUTO1 GROUP ORD (GER)</t>
  </si>
  <si>
    <t>PANASONIC HLDG ORD (TYO) CFD</t>
  </si>
  <si>
    <t>AMAZON COM ORD (NMS)</t>
  </si>
  <si>
    <t>SK HYNIX ORD (KSC) CFD_USD</t>
  </si>
  <si>
    <t>HEWLETT PACKARD ENTERPRISE ORD (NYS)</t>
  </si>
  <si>
    <t>SAP ORD (GER)</t>
  </si>
  <si>
    <t>GLOBAL E ONLINE ORD (NMS)</t>
  </si>
  <si>
    <t>ZETA GLOBAL HOLDINGS CL A ORD (NYS)</t>
  </si>
  <si>
    <t>PROCORE TECHNOLOGIES ORD (NYS)</t>
  </si>
  <si>
    <t>ADVANTEST ORD (TYO) CFD</t>
  </si>
  <si>
    <t>TESLA ORD (NMS)</t>
  </si>
  <si>
    <t>APPLOVIN CL A ORD (NMS)</t>
  </si>
  <si>
    <t>FERRARI ORD (NYS)</t>
  </si>
  <si>
    <t>NORDIC SEMICONDUCTOR ORD (OSL)</t>
  </si>
  <si>
    <t>ZILLOW GROUP CL C ORD (NMS)</t>
  </si>
  <si>
    <t>FERRARI ORD (MIL)</t>
  </si>
  <si>
    <t>APPLIED MATERIAL ORD (NMS)</t>
  </si>
  <si>
    <t>SPHERE ENTERTAINMENT CL A ORD (NYS)</t>
  </si>
  <si>
    <t>STMICROELECTRONICS ADR (NYS)</t>
  </si>
  <si>
    <t>MAPLEBEAR ORD (NMS)</t>
  </si>
  <si>
    <t>TERADYNE ORD (NMS)</t>
  </si>
  <si>
    <t>AECOM ORD (NYS)</t>
  </si>
  <si>
    <t>NXP SEMICONDUCTORS ORD (NMS)</t>
  </si>
  <si>
    <t>ROBLOX CL A ORD (NYS)</t>
  </si>
  <si>
    <t>META US 01/15/27 P620 OTC (META 1/15/27 P620 OTC)</t>
  </si>
  <si>
    <t>LIONSGATE STUDIOS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</si>
</sst>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195"/>
  <sheetViews>
    <sheetView tabSelected="1" workbookViewId="0">
      <selection activeCell="M16" sqref="M16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73</v>
      </c>
      <c r="C11" s="10">
        <v>10.60053269172059</v>
      </c>
      <c r="D11" s="10">
        <f t="shared" ref="D11:D47" si="0">IF(B11="","",(C11/100))</f>
        <v>0.10600532691720589</v>
      </c>
      <c r="F11" s="11" t="s">
        <v>10</v>
      </c>
      <c r="G11" s="10">
        <v>-5.0054151943538239</v>
      </c>
      <c r="H11" s="12">
        <f t="shared" ref="H11:H42" si="1">IF(F11="","",G11/100)</f>
        <v>-5.0054151943538239E-2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74</v>
      </c>
      <c r="C12" s="10">
        <v>6.7844756079551178</v>
      </c>
      <c r="D12" s="10">
        <f t="shared" si="0"/>
        <v>6.7844756079551177E-2</v>
      </c>
      <c r="F12" s="11" t="s">
        <v>18</v>
      </c>
      <c r="G12" s="10">
        <v>-4.9463269302548794</v>
      </c>
      <c r="H12" s="12">
        <f t="shared" si="1"/>
        <v>-4.9463269302548796E-2</v>
      </c>
      <c r="K12" s="9"/>
      <c r="L12" s="11"/>
      <c r="M12" s="11"/>
      <c r="O12" s="11"/>
      <c r="P12" s="11"/>
      <c r="Q12" s="13"/>
    </row>
    <row r="13" spans="1:17" x14ac:dyDescent="0.2">
      <c r="B13" s="9" t="s">
        <v>75</v>
      </c>
      <c r="C13" s="10">
        <v>6.4573998275179303</v>
      </c>
      <c r="D13" s="10">
        <f t="shared" si="0"/>
        <v>6.4573998275179303E-2</v>
      </c>
      <c r="F13" s="11" t="s">
        <v>19</v>
      </c>
      <c r="G13" s="10">
        <v>-4.8087289281268024</v>
      </c>
      <c r="H13" s="12">
        <f t="shared" si="1"/>
        <v>-4.8087289281268021E-2</v>
      </c>
      <c r="I13" s="1"/>
    </row>
    <row r="14" spans="1:17" x14ac:dyDescent="0.2">
      <c r="B14" s="9" t="s">
        <v>76</v>
      </c>
      <c r="C14" s="10">
        <v>4.8587037343202066</v>
      </c>
      <c r="D14" s="10">
        <f t="shared" si="0"/>
        <v>4.8587037343202064E-2</v>
      </c>
      <c r="F14" s="11" t="s">
        <v>20</v>
      </c>
      <c r="G14" s="10">
        <v>-4.0106536504313821</v>
      </c>
      <c r="H14" s="12">
        <f t="shared" si="1"/>
        <v>-4.0106536504313818E-2</v>
      </c>
      <c r="I14" s="1"/>
    </row>
    <row r="15" spans="1:17" x14ac:dyDescent="0.2">
      <c r="B15" s="9" t="s">
        <v>77</v>
      </c>
      <c r="C15" s="10">
        <v>4.5069452256091758</v>
      </c>
      <c r="D15" s="10">
        <f t="shared" si="0"/>
        <v>4.5069452256091755E-2</v>
      </c>
      <c r="F15" s="11" t="s">
        <v>21</v>
      </c>
      <c r="G15" s="10">
        <v>-4.0030845661530599</v>
      </c>
      <c r="H15" s="12">
        <f t="shared" si="1"/>
        <v>-4.0030845661530597E-2</v>
      </c>
      <c r="I15" s="1"/>
    </row>
    <row r="16" spans="1:17" x14ac:dyDescent="0.2">
      <c r="B16" s="9" t="s">
        <v>78</v>
      </c>
      <c r="C16" s="10">
        <v>4.4580940752424443</v>
      </c>
      <c r="D16" s="10">
        <f t="shared" si="0"/>
        <v>4.4580940752424442E-2</v>
      </c>
      <c r="F16" s="11" t="s">
        <v>22</v>
      </c>
      <c r="G16" s="10">
        <v>-3.9800354346337636</v>
      </c>
      <c r="H16" s="12">
        <f t="shared" si="1"/>
        <v>-3.9800354346337635E-2</v>
      </c>
      <c r="I16" s="1"/>
    </row>
    <row r="17" spans="2:8" x14ac:dyDescent="0.2">
      <c r="B17" s="9" t="s">
        <v>79</v>
      </c>
      <c r="C17" s="10">
        <v>4.4215116009348474</v>
      </c>
      <c r="D17" s="10">
        <f t="shared" si="0"/>
        <v>4.4215116009348472E-2</v>
      </c>
      <c r="F17" s="11" t="s">
        <v>23</v>
      </c>
      <c r="G17" s="10">
        <v>-3.5531379569530239</v>
      </c>
      <c r="H17" s="12">
        <f t="shared" si="1"/>
        <v>-3.5531379569530237E-2</v>
      </c>
    </row>
    <row r="18" spans="2:8" x14ac:dyDescent="0.2">
      <c r="B18" s="9" t="s">
        <v>80</v>
      </c>
      <c r="C18" s="10">
        <v>4.3288574508265407</v>
      </c>
      <c r="D18" s="10">
        <f t="shared" si="0"/>
        <v>4.3288574508265405E-2</v>
      </c>
      <c r="F18" s="11" t="s">
        <v>24</v>
      </c>
      <c r="G18" s="10">
        <v>-3.4040470371501215</v>
      </c>
      <c r="H18" s="12">
        <f t="shared" si="1"/>
        <v>-3.4040470371501215E-2</v>
      </c>
    </row>
    <row r="19" spans="2:8" x14ac:dyDescent="0.2">
      <c r="B19" s="9" t="s">
        <v>81</v>
      </c>
      <c r="C19" s="10">
        <v>4.1932859182301261</v>
      </c>
      <c r="D19" s="10">
        <f t="shared" si="0"/>
        <v>4.193285918230126E-2</v>
      </c>
      <c r="F19" s="11" t="s">
        <v>25</v>
      </c>
      <c r="G19" s="10">
        <v>-3.3727638478001238</v>
      </c>
      <c r="H19" s="12">
        <f t="shared" si="1"/>
        <v>-3.372763847800124E-2</v>
      </c>
    </row>
    <row r="20" spans="2:8" x14ac:dyDescent="0.2">
      <c r="B20" s="9" t="s">
        <v>82</v>
      </c>
      <c r="C20" s="10">
        <v>3.8087184165930399</v>
      </c>
      <c r="D20" s="10">
        <f t="shared" si="0"/>
        <v>3.8087184165930398E-2</v>
      </c>
      <c r="F20" s="11" t="s">
        <v>26</v>
      </c>
      <c r="G20" s="10">
        <v>-3.0221043907620477</v>
      </c>
      <c r="H20" s="12">
        <f t="shared" si="1"/>
        <v>-3.0221043907620478E-2</v>
      </c>
    </row>
    <row r="21" spans="2:8" x14ac:dyDescent="0.2">
      <c r="B21" s="9" t="s">
        <v>83</v>
      </c>
      <c r="C21" s="10">
        <v>3.7355789472986665</v>
      </c>
      <c r="D21" s="10">
        <f t="shared" si="0"/>
        <v>3.7355789472986664E-2</v>
      </c>
      <c r="F21" s="11" t="s">
        <v>27</v>
      </c>
      <c r="G21" s="10">
        <v>-2.8069162750713996</v>
      </c>
      <c r="H21" s="12">
        <f t="shared" si="1"/>
        <v>-2.8069162750713996E-2</v>
      </c>
    </row>
    <row r="22" spans="2:8" x14ac:dyDescent="0.2">
      <c r="B22" s="9" t="s">
        <v>84</v>
      </c>
      <c r="C22" s="10">
        <v>3.6504778755407252</v>
      </c>
      <c r="D22" s="10">
        <f t="shared" si="0"/>
        <v>3.6504778755407252E-2</v>
      </c>
      <c r="F22" s="11" t="s">
        <v>28</v>
      </c>
      <c r="G22" s="10">
        <v>-2.7677477078642045</v>
      </c>
      <c r="H22" s="12">
        <f t="shared" si="1"/>
        <v>-2.7677477078642047E-2</v>
      </c>
    </row>
    <row r="23" spans="2:8" x14ac:dyDescent="0.2">
      <c r="B23" s="9" t="s">
        <v>85</v>
      </c>
      <c r="C23" s="10">
        <v>3.4418984053326156</v>
      </c>
      <c r="D23" s="10">
        <f t="shared" si="0"/>
        <v>3.4418984053326156E-2</v>
      </c>
      <c r="F23" s="11" t="s">
        <v>29</v>
      </c>
      <c r="G23" s="10">
        <v>-2.5823036218207527</v>
      </c>
      <c r="H23" s="12">
        <f t="shared" si="1"/>
        <v>-2.5823036218207526E-2</v>
      </c>
    </row>
    <row r="24" spans="2:8" x14ac:dyDescent="0.2">
      <c r="B24" s="9" t="s">
        <v>86</v>
      </c>
      <c r="C24" s="10">
        <v>3.2214229707359503</v>
      </c>
      <c r="D24" s="10">
        <f t="shared" si="0"/>
        <v>3.2214229707359501E-2</v>
      </c>
      <c r="F24" s="11" t="s">
        <v>30</v>
      </c>
      <c r="G24" s="10">
        <v>-2.4841451521405262</v>
      </c>
      <c r="H24" s="12">
        <f t="shared" si="1"/>
        <v>-2.4841451521405263E-2</v>
      </c>
    </row>
    <row r="25" spans="2:8" x14ac:dyDescent="0.2">
      <c r="B25" s="9" t="s">
        <v>87</v>
      </c>
      <c r="C25" s="10">
        <v>3.1877111794494297</v>
      </c>
      <c r="D25" s="10">
        <f t="shared" si="0"/>
        <v>3.1877111794494296E-2</v>
      </c>
      <c r="F25" s="11" t="s">
        <v>31</v>
      </c>
      <c r="G25" s="10">
        <v>-2.4816840753667027</v>
      </c>
      <c r="H25" s="12">
        <f t="shared" si="1"/>
        <v>-2.4816840753667028E-2</v>
      </c>
    </row>
    <row r="26" spans="2:8" x14ac:dyDescent="0.2">
      <c r="B26" s="9" t="s">
        <v>88</v>
      </c>
      <c r="C26" s="10">
        <v>2.7433610231173611</v>
      </c>
      <c r="D26" s="10">
        <f t="shared" si="0"/>
        <v>2.7433610231173612E-2</v>
      </c>
      <c r="F26" s="11" t="s">
        <v>32</v>
      </c>
      <c r="G26" s="10">
        <v>-2.4209693576546143</v>
      </c>
      <c r="H26" s="12">
        <f t="shared" si="1"/>
        <v>-2.4209693576546142E-2</v>
      </c>
    </row>
    <row r="27" spans="2:8" x14ac:dyDescent="0.2">
      <c r="B27" s="9" t="s">
        <v>89</v>
      </c>
      <c r="C27" s="10">
        <v>2.7049612145847077</v>
      </c>
      <c r="D27" s="10">
        <f t="shared" si="0"/>
        <v>2.7049612145847078E-2</v>
      </c>
      <c r="F27" s="11" t="s">
        <v>33</v>
      </c>
      <c r="G27" s="10">
        <v>-2.2248305999880249</v>
      </c>
      <c r="H27" s="12">
        <f t="shared" si="1"/>
        <v>-2.2248305999880248E-2</v>
      </c>
    </row>
    <row r="28" spans="2:8" x14ac:dyDescent="0.2">
      <c r="B28" s="9" t="s">
        <v>90</v>
      </c>
      <c r="C28" s="10">
        <v>2.557088351759325</v>
      </c>
      <c r="D28" s="10">
        <f t="shared" si="0"/>
        <v>2.5570883517593249E-2</v>
      </c>
      <c r="F28" s="11" t="s">
        <v>34</v>
      </c>
      <c r="G28" s="10">
        <v>-2.1748398540068625</v>
      </c>
      <c r="H28" s="12">
        <f t="shared" si="1"/>
        <v>-2.1748398540068624E-2</v>
      </c>
    </row>
    <row r="29" spans="2:8" x14ac:dyDescent="0.2">
      <c r="B29" s="9" t="s">
        <v>91</v>
      </c>
      <c r="C29" s="10">
        <v>2.5271323125377014</v>
      </c>
      <c r="D29" s="10">
        <f t="shared" si="0"/>
        <v>2.5271323125377013E-2</v>
      </c>
      <c r="F29" s="11" t="s">
        <v>35</v>
      </c>
      <c r="G29" s="10">
        <v>-2.171844364431843</v>
      </c>
      <c r="H29" s="12">
        <f t="shared" si="1"/>
        <v>-2.1718443644318429E-2</v>
      </c>
    </row>
    <row r="30" spans="2:8" x14ac:dyDescent="0.2">
      <c r="B30" s="9" t="s">
        <v>92</v>
      </c>
      <c r="C30" s="10">
        <v>2.4113228097518418</v>
      </c>
      <c r="D30" s="10">
        <f t="shared" si="0"/>
        <v>2.4113228097518417E-2</v>
      </c>
      <c r="F30" s="11" t="s">
        <v>36</v>
      </c>
      <c r="G30" s="10">
        <v>-2.0659730878226759</v>
      </c>
      <c r="H30" s="12">
        <f t="shared" si="1"/>
        <v>-2.065973087822676E-2</v>
      </c>
    </row>
    <row r="31" spans="2:8" x14ac:dyDescent="0.2">
      <c r="B31" s="9" t="s">
        <v>93</v>
      </c>
      <c r="C31" s="10">
        <v>2.3533343910082296</v>
      </c>
      <c r="D31" s="10">
        <f t="shared" si="0"/>
        <v>2.3533343910082296E-2</v>
      </c>
      <c r="F31" s="11" t="s">
        <v>37</v>
      </c>
      <c r="G31" s="10">
        <v>-2.0436052664847062</v>
      </c>
      <c r="H31" s="12">
        <f t="shared" si="1"/>
        <v>-2.0436052664847063E-2</v>
      </c>
    </row>
    <row r="32" spans="2:8" x14ac:dyDescent="0.2">
      <c r="B32" s="9" t="s">
        <v>94</v>
      </c>
      <c r="C32" s="10">
        <v>2.0970622879714469</v>
      </c>
      <c r="D32" s="10">
        <f t="shared" si="0"/>
        <v>2.0970622879714469E-2</v>
      </c>
      <c r="F32" s="11" t="s">
        <v>38</v>
      </c>
      <c r="G32" s="10">
        <v>-2.007008042912918</v>
      </c>
      <c r="H32" s="12">
        <f t="shared" si="1"/>
        <v>-2.0070080429129181E-2</v>
      </c>
    </row>
    <row r="33" spans="2:8" x14ac:dyDescent="0.2">
      <c r="B33" s="9" t="s">
        <v>95</v>
      </c>
      <c r="C33" s="10">
        <v>2.0260836036066894</v>
      </c>
      <c r="D33" s="10">
        <f t="shared" si="0"/>
        <v>2.0260836036066893E-2</v>
      </c>
      <c r="F33" s="11" t="s">
        <v>39</v>
      </c>
      <c r="G33" s="10">
        <v>-2.0059792982706162</v>
      </c>
      <c r="H33" s="12">
        <f t="shared" si="1"/>
        <v>-2.0059792982706163E-2</v>
      </c>
    </row>
    <row r="34" spans="2:8" x14ac:dyDescent="0.2">
      <c r="B34" s="9" t="s">
        <v>96</v>
      </c>
      <c r="C34" s="10">
        <v>2.0007870281536517</v>
      </c>
      <c r="D34" s="10">
        <f t="shared" si="0"/>
        <v>2.0007870281536517E-2</v>
      </c>
      <c r="F34" s="11" t="s">
        <v>40</v>
      </c>
      <c r="G34" s="10">
        <v>-1.8043046060173829</v>
      </c>
      <c r="H34" s="12">
        <f t="shared" si="1"/>
        <v>-1.8043046060173828E-2</v>
      </c>
    </row>
    <row r="35" spans="2:8" x14ac:dyDescent="0.2">
      <c r="B35" s="9" t="s">
        <v>97</v>
      </c>
      <c r="C35" s="10">
        <v>1.9706840987942496</v>
      </c>
      <c r="D35" s="10">
        <f t="shared" si="0"/>
        <v>1.9706840987942495E-2</v>
      </c>
      <c r="F35" s="11" t="s">
        <v>41</v>
      </c>
      <c r="G35" s="10">
        <v>-1.7191258856667928</v>
      </c>
      <c r="H35" s="12">
        <f t="shared" si="1"/>
        <v>-1.7191258856667928E-2</v>
      </c>
    </row>
    <row r="36" spans="2:8" x14ac:dyDescent="0.2">
      <c r="B36" s="9" t="s">
        <v>98</v>
      </c>
      <c r="C36" s="10">
        <v>1.9322991175116953</v>
      </c>
      <c r="D36" s="10">
        <f t="shared" si="0"/>
        <v>1.9322991175116953E-2</v>
      </c>
      <c r="F36" s="11" t="s">
        <v>42</v>
      </c>
      <c r="G36" s="10">
        <v>-1.5428259465808316</v>
      </c>
      <c r="H36" s="12">
        <f t="shared" si="1"/>
        <v>-1.5428259465808315E-2</v>
      </c>
    </row>
    <row r="37" spans="2:8" x14ac:dyDescent="0.2">
      <c r="B37" s="9" t="s">
        <v>99</v>
      </c>
      <c r="C37" s="10">
        <v>1.6604767924836827</v>
      </c>
      <c r="D37" s="10">
        <f t="shared" si="0"/>
        <v>1.6604767924836828E-2</v>
      </c>
      <c r="F37" s="11" t="s">
        <v>43</v>
      </c>
      <c r="G37" s="10">
        <v>-1.4780023351977669</v>
      </c>
      <c r="H37" s="12">
        <f t="shared" si="1"/>
        <v>-1.4780023351977669E-2</v>
      </c>
    </row>
    <row r="38" spans="2:8" x14ac:dyDescent="0.2">
      <c r="B38" s="9" t="s">
        <v>100</v>
      </c>
      <c r="C38" s="10">
        <v>1.6445098872439958</v>
      </c>
      <c r="D38" s="10">
        <f t="shared" si="0"/>
        <v>1.6445098872439959E-2</v>
      </c>
      <c r="F38" s="11" t="s">
        <v>44</v>
      </c>
      <c r="G38" s="10">
        <v>-1.4558245346491336</v>
      </c>
      <c r="H38" s="12">
        <f t="shared" si="1"/>
        <v>-1.4558245346491337E-2</v>
      </c>
    </row>
    <row r="39" spans="2:8" x14ac:dyDescent="0.2">
      <c r="B39" s="9" t="s">
        <v>101</v>
      </c>
      <c r="C39" s="10">
        <v>1.4901618137897266</v>
      </c>
      <c r="D39" s="10">
        <f t="shared" si="0"/>
        <v>1.4901618137897265E-2</v>
      </c>
      <c r="F39" s="11" t="s">
        <v>45</v>
      </c>
      <c r="G39" s="10">
        <v>-1.4135991109142569</v>
      </c>
      <c r="H39" s="12">
        <f t="shared" si="1"/>
        <v>-1.4135991109142569E-2</v>
      </c>
    </row>
    <row r="40" spans="2:8" x14ac:dyDescent="0.2">
      <c r="B40" s="9" t="s">
        <v>102</v>
      </c>
      <c r="C40" s="10">
        <v>1.4354222015801164</v>
      </c>
      <c r="D40" s="10">
        <f t="shared" si="0"/>
        <v>1.4354222015801164E-2</v>
      </c>
      <c r="F40" s="11" t="s">
        <v>46</v>
      </c>
      <c r="G40" s="10">
        <v>-1.3705227935299515</v>
      </c>
      <c r="H40" s="12">
        <f t="shared" si="1"/>
        <v>-1.3705227935299515E-2</v>
      </c>
    </row>
    <row r="41" spans="2:8" x14ac:dyDescent="0.2">
      <c r="B41" s="9" t="s">
        <v>103</v>
      </c>
      <c r="C41" s="10">
        <v>1.3572438259438038</v>
      </c>
      <c r="D41" s="10">
        <f t="shared" si="0"/>
        <v>1.3572438259438038E-2</v>
      </c>
      <c r="F41" s="11" t="s">
        <v>47</v>
      </c>
      <c r="G41" s="10">
        <v>-1.3447737529812482</v>
      </c>
      <c r="H41" s="12">
        <f t="shared" si="1"/>
        <v>-1.3447737529812482E-2</v>
      </c>
    </row>
    <row r="42" spans="2:8" x14ac:dyDescent="0.2">
      <c r="B42" s="9" t="s">
        <v>104</v>
      </c>
      <c r="C42" s="10">
        <v>1.264754695629926</v>
      </c>
      <c r="D42" s="10">
        <f t="shared" si="0"/>
        <v>1.2647546956299261E-2</v>
      </c>
      <c r="F42" s="11" t="s">
        <v>48</v>
      </c>
      <c r="G42" s="10">
        <v>-1.1920275951266028</v>
      </c>
      <c r="H42" s="12">
        <f t="shared" si="1"/>
        <v>-1.1920275951266029E-2</v>
      </c>
    </row>
    <row r="43" spans="2:8" x14ac:dyDescent="0.2">
      <c r="B43" s="9" t="s">
        <v>105</v>
      </c>
      <c r="C43" s="10">
        <v>0.83052147628999951</v>
      </c>
      <c r="D43" s="10">
        <f t="shared" si="0"/>
        <v>8.3052147628999949E-3</v>
      </c>
      <c r="F43" s="11" t="s">
        <v>49</v>
      </c>
      <c r="G43" s="10">
        <v>-1.1627162435045821</v>
      </c>
      <c r="H43" s="12">
        <f t="shared" ref="H43:H74" si="2">IF(F43="","",G43/100)</f>
        <v>-1.1627162435045822E-2</v>
      </c>
    </row>
    <row r="44" spans="2:8" x14ac:dyDescent="0.2">
      <c r="B44" s="9" t="s">
        <v>106</v>
      </c>
      <c r="C44" s="10">
        <v>0.73327653502686652</v>
      </c>
      <c r="D44" s="10">
        <f t="shared" si="0"/>
        <v>7.3327653502686654E-3</v>
      </c>
      <c r="F44" s="11" t="s">
        <v>50</v>
      </c>
      <c r="G44" s="10">
        <v>-1.0914495185768041</v>
      </c>
      <c r="H44" s="12">
        <f t="shared" si="2"/>
        <v>-1.0914495185768041E-2</v>
      </c>
    </row>
    <row r="45" spans="2:8" x14ac:dyDescent="0.2">
      <c r="B45" s="9" t="s">
        <v>107</v>
      </c>
      <c r="C45" s="10">
        <v>0.41365323369863061</v>
      </c>
      <c r="D45" s="10">
        <f t="shared" si="0"/>
        <v>4.1365323369863061E-3</v>
      </c>
      <c r="F45" s="11" t="s">
        <v>51</v>
      </c>
      <c r="G45" s="10">
        <v>-1.0548534855285827</v>
      </c>
      <c r="H45" s="12">
        <f t="shared" si="2"/>
        <v>-1.0548534855285827E-2</v>
      </c>
    </row>
    <row r="46" spans="2:8" x14ac:dyDescent="0.2">
      <c r="B46" s="9" t="s">
        <v>108</v>
      </c>
      <c r="C46" s="10">
        <v>0.31347907533904246</v>
      </c>
      <c r="D46" s="10">
        <f t="shared" si="0"/>
        <v>3.1347907533904244E-3</v>
      </c>
      <c r="F46" s="11" t="s">
        <v>52</v>
      </c>
      <c r="G46" s="10">
        <v>-1.0288980875615958</v>
      </c>
      <c r="H46" s="12">
        <f t="shared" si="2"/>
        <v>-1.0288980875615958E-2</v>
      </c>
    </row>
    <row r="47" spans="2:8" x14ac:dyDescent="0.2">
      <c r="B47" s="9" t="s">
        <v>8</v>
      </c>
      <c r="C47" s="10">
        <v>0.1047909426122946</v>
      </c>
      <c r="D47" s="10">
        <f t="shared" si="0"/>
        <v>1.047909426122946E-3</v>
      </c>
      <c r="F47" s="11" t="s">
        <v>53</v>
      </c>
      <c r="G47" s="10">
        <v>-1.0210247583717018</v>
      </c>
      <c r="H47" s="12">
        <f t="shared" si="2"/>
        <v>-1.0210247583717018E-2</v>
      </c>
    </row>
    <row r="48" spans="2:8" x14ac:dyDescent="0.2">
      <c r="B48" s="9"/>
      <c r="C48" s="11"/>
      <c r="D48" s="11"/>
      <c r="F48" s="11" t="s">
        <v>54</v>
      </c>
      <c r="G48" s="10">
        <v>-1.0065331102521475</v>
      </c>
      <c r="H48" s="12">
        <f t="shared" si="2"/>
        <v>-1.0065331102521476E-2</v>
      </c>
    </row>
    <row r="49" spans="4:8" x14ac:dyDescent="0.2">
      <c r="F49" s="11" t="s">
        <v>55</v>
      </c>
      <c r="G49" s="10">
        <v>-1.0027899057368415</v>
      </c>
      <c r="H49" s="12">
        <f t="shared" si="2"/>
        <v>-1.0027899057368415E-2</v>
      </c>
    </row>
    <row r="50" spans="4:8" x14ac:dyDescent="0.2">
      <c r="F50" s="11" t="s">
        <v>56</v>
      </c>
      <c r="G50" s="10">
        <v>-0.89886116674786209</v>
      </c>
      <c r="H50" s="12">
        <f t="shared" si="2"/>
        <v>-8.9886116674786215E-3</v>
      </c>
    </row>
    <row r="51" spans="4:8" x14ac:dyDescent="0.2">
      <c r="F51" s="11" t="s">
        <v>57</v>
      </c>
      <c r="G51" s="10">
        <v>-0.87744232497320407</v>
      </c>
      <c r="H51" s="12">
        <f t="shared" si="2"/>
        <v>-8.7744232497320405E-3</v>
      </c>
    </row>
    <row r="52" spans="4:8" x14ac:dyDescent="0.2">
      <c r="F52" s="11" t="s">
        <v>58</v>
      </c>
      <c r="G52" s="10">
        <v>-0.8406649355016067</v>
      </c>
      <c r="H52" s="12">
        <f t="shared" si="2"/>
        <v>-8.4066493550160673E-3</v>
      </c>
    </row>
    <row r="53" spans="4:8" x14ac:dyDescent="0.2">
      <c r="D53" s="1"/>
      <c r="F53" s="11" t="s">
        <v>59</v>
      </c>
      <c r="G53" s="10">
        <v>-0.82422221767630077</v>
      </c>
      <c r="H53" s="12">
        <f t="shared" si="2"/>
        <v>-8.2422221767630074E-3</v>
      </c>
    </row>
    <row r="54" spans="4:8" x14ac:dyDescent="0.2">
      <c r="D54" s="1"/>
      <c r="F54" s="11" t="s">
        <v>60</v>
      </c>
      <c r="G54" s="10">
        <v>-0.77806337021618732</v>
      </c>
      <c r="H54" s="12">
        <f t="shared" si="2"/>
        <v>-7.7806337021618733E-3</v>
      </c>
    </row>
    <row r="55" spans="4:8" x14ac:dyDescent="0.2">
      <c r="D55" s="1"/>
      <c r="F55" s="11" t="s">
        <v>61</v>
      </c>
      <c r="G55" s="10">
        <v>-0.71626659886207356</v>
      </c>
      <c r="H55" s="12">
        <f t="shared" si="2"/>
        <v>-7.162665988620736E-3</v>
      </c>
    </row>
    <row r="56" spans="4:8" x14ac:dyDescent="0.2">
      <c r="D56" s="1"/>
      <c r="F56" s="11" t="s">
        <v>62</v>
      </c>
      <c r="G56" s="10">
        <v>-0.6398799611941266</v>
      </c>
      <c r="H56" s="12">
        <f t="shared" si="2"/>
        <v>-6.398799611941266E-3</v>
      </c>
    </row>
    <row r="57" spans="4:8" x14ac:dyDescent="0.2">
      <c r="D57" s="1"/>
      <c r="F57" s="11" t="s">
        <v>63</v>
      </c>
      <c r="G57" s="10">
        <v>-0.62728422185505217</v>
      </c>
      <c r="H57" s="12">
        <f t="shared" si="2"/>
        <v>-6.2728422185505221E-3</v>
      </c>
    </row>
    <row r="58" spans="4:8" x14ac:dyDescent="0.2">
      <c r="D58" s="1"/>
      <c r="F58" s="11" t="s">
        <v>64</v>
      </c>
      <c r="G58" s="10">
        <v>-0.57783913250877372</v>
      </c>
      <c r="H58" s="12">
        <f t="shared" si="2"/>
        <v>-5.778391325087737E-3</v>
      </c>
    </row>
    <row r="59" spans="4:8" x14ac:dyDescent="0.2">
      <c r="D59" s="1"/>
      <c r="F59" s="11" t="s">
        <v>65</v>
      </c>
      <c r="G59" s="10">
        <v>-0.55063037778650714</v>
      </c>
      <c r="H59" s="12">
        <f t="shared" si="2"/>
        <v>-5.5063037778650716E-3</v>
      </c>
    </row>
    <row r="60" spans="4:8" x14ac:dyDescent="0.2">
      <c r="D60" s="1"/>
      <c r="F60" s="11" t="s">
        <v>66</v>
      </c>
      <c r="G60" s="10">
        <v>-0.51724082154546047</v>
      </c>
      <c r="H60" s="12">
        <f t="shared" si="2"/>
        <v>-5.1724082154546045E-3</v>
      </c>
    </row>
    <row r="61" spans="4:8" x14ac:dyDescent="0.2">
      <c r="D61" s="1"/>
      <c r="F61" s="11" t="s">
        <v>67</v>
      </c>
      <c r="G61" s="10">
        <v>-0.50750167736525298</v>
      </c>
      <c r="H61" s="12">
        <f t="shared" si="2"/>
        <v>-5.07501677365253E-3</v>
      </c>
    </row>
    <row r="62" spans="4:8" x14ac:dyDescent="0.2">
      <c r="D62" s="1"/>
      <c r="F62" s="11" t="s">
        <v>68</v>
      </c>
      <c r="G62" s="10">
        <v>-0.40397903919302397</v>
      </c>
      <c r="H62" s="12">
        <f t="shared" si="2"/>
        <v>-4.0397903919302397E-3</v>
      </c>
    </row>
    <row r="63" spans="4:8" x14ac:dyDescent="0.2">
      <c r="D63" s="1"/>
      <c r="F63" s="11" t="s">
        <v>69</v>
      </c>
      <c r="G63" s="10">
        <v>-0.38088235287124544</v>
      </c>
      <c r="H63" s="12">
        <f t="shared" si="2"/>
        <v>-3.8088235287124543E-3</v>
      </c>
    </row>
    <row r="64" spans="4:8" x14ac:dyDescent="0.2">
      <c r="D64" s="1"/>
      <c r="F64" s="11" t="s">
        <v>70</v>
      </c>
      <c r="G64" s="10">
        <v>-0.31176710244966732</v>
      </c>
      <c r="H64" s="12">
        <f t="shared" si="2"/>
        <v>-3.1176710244966732E-3</v>
      </c>
    </row>
    <row r="65" spans="4:8" x14ac:dyDescent="0.2">
      <c r="D65" s="1"/>
      <c r="F65" s="11" t="s">
        <v>71</v>
      </c>
      <c r="G65" s="10">
        <v>-0.30613718264142664</v>
      </c>
      <c r="H65" s="12">
        <f t="shared" si="2"/>
        <v>-3.0613718264142662E-3</v>
      </c>
    </row>
    <row r="66" spans="4:8" x14ac:dyDescent="0.2">
      <c r="D66" s="1"/>
      <c r="F66" s="11" t="s">
        <v>72</v>
      </c>
      <c r="G66" s="10">
        <v>-0.27818329244660178</v>
      </c>
      <c r="H66" s="12">
        <f t="shared" si="2"/>
        <v>-2.7818329244660178E-3</v>
      </c>
    </row>
    <row r="67" spans="4:8" x14ac:dyDescent="0.2">
      <c r="D67" s="1"/>
      <c r="F67" s="11" t="s">
        <v>9</v>
      </c>
      <c r="G67" s="10">
        <v>-0.22417558766991635</v>
      </c>
      <c r="H67" s="12">
        <f t="shared" si="2"/>
        <v>-2.2417558766991636E-3</v>
      </c>
    </row>
    <row r="68" spans="4:8" x14ac:dyDescent="0.2">
      <c r="D68" s="1"/>
      <c r="F68" s="11"/>
      <c r="G68" s="11"/>
      <c r="H68" s="13"/>
    </row>
    <row r="69" spans="4:8" x14ac:dyDescent="0.2">
      <c r="D69" s="1"/>
    </row>
    <row r="70" spans="4:8" x14ac:dyDescent="0.2">
      <c r="D70" s="1"/>
    </row>
    <row r="71" spans="4:8" x14ac:dyDescent="0.2">
      <c r="D71" s="1"/>
      <c r="G71" t="s">
        <v>5</v>
      </c>
    </row>
    <row r="72" spans="4:8" x14ac:dyDescent="0.2">
      <c r="D72" s="1"/>
    </row>
    <row r="73" spans="4:8" x14ac:dyDescent="0.2">
      <c r="D73" s="1"/>
      <c r="H73" s="1"/>
    </row>
    <row r="74" spans="4:8" x14ac:dyDescent="0.2">
      <c r="D74" s="1"/>
      <c r="H74" s="1"/>
    </row>
    <row r="75" spans="4:8" x14ac:dyDescent="0.2">
      <c r="D75" s="1"/>
      <c r="H75" s="1"/>
    </row>
    <row r="76" spans="4:8" x14ac:dyDescent="0.2">
      <c r="D76" s="1"/>
      <c r="H76" s="1"/>
    </row>
    <row r="77" spans="4:8" x14ac:dyDescent="0.2">
      <c r="D77" s="1"/>
      <c r="H77" s="1"/>
    </row>
    <row r="78" spans="4:8" x14ac:dyDescent="0.2">
      <c r="D78" s="1"/>
      <c r="H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196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164</v>
      </c>
      <c r="C11" s="10">
        <v>10.60053269172059</v>
      </c>
      <c r="D11" s="10">
        <f t="shared" ref="D11:D48" si="0">IF(B11="","",(C11/100))</f>
        <v>0.10600532691720589</v>
      </c>
      <c r="F11" s="11" t="s">
        <v>16</v>
      </c>
      <c r="G11" s="10">
        <v>-5.0054151943538239</v>
      </c>
      <c r="H11" s="12">
        <f t="shared" ref="H11:H42" si="1">IF(F11="","",G11/100)</f>
        <v>-5.0054151943538239E-2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165</v>
      </c>
      <c r="C12" s="10">
        <v>6.7844756079551178</v>
      </c>
      <c r="D12" s="10">
        <f t="shared" si="0"/>
        <v>6.7844756079551177E-2</v>
      </c>
      <c r="F12" s="11" t="s">
        <v>17</v>
      </c>
      <c r="G12" s="10">
        <v>-4.9463269302548794</v>
      </c>
      <c r="H12" s="12">
        <f t="shared" si="1"/>
        <v>-4.9463269302548796E-2</v>
      </c>
      <c r="K12" s="9"/>
      <c r="L12" s="11"/>
      <c r="M12" s="11"/>
      <c r="O12" s="11"/>
      <c r="P12" s="11"/>
      <c r="Q12" s="13"/>
    </row>
    <row r="13" spans="1:17" x14ac:dyDescent="0.2">
      <c r="B13" s="9" t="s">
        <v>166</v>
      </c>
      <c r="C13" s="10">
        <v>6.4573998275179303</v>
      </c>
      <c r="D13" s="10">
        <f t="shared" si="0"/>
        <v>6.4573998275179303E-2</v>
      </c>
      <c r="F13" s="11" t="s">
        <v>109</v>
      </c>
      <c r="G13" s="10">
        <v>-4.8087289281268024</v>
      </c>
      <c r="H13" s="12">
        <f t="shared" si="1"/>
        <v>-4.8087289281268021E-2</v>
      </c>
      <c r="I13" s="1"/>
    </row>
    <row r="14" spans="1:17" x14ac:dyDescent="0.2">
      <c r="B14" s="9" t="s">
        <v>167</v>
      </c>
      <c r="C14" s="10">
        <v>4.8587037343202066</v>
      </c>
      <c r="D14" s="10">
        <f t="shared" si="0"/>
        <v>4.8587037343202064E-2</v>
      </c>
      <c r="F14" s="11" t="s">
        <v>110</v>
      </c>
      <c r="G14" s="10">
        <v>-4.0106536504313821</v>
      </c>
      <c r="H14" s="12">
        <f t="shared" si="1"/>
        <v>-4.0106536504313818E-2</v>
      </c>
      <c r="I14" s="1"/>
    </row>
    <row r="15" spans="1:17" x14ac:dyDescent="0.2">
      <c r="B15" s="9" t="s">
        <v>168</v>
      </c>
      <c r="C15" s="10">
        <v>4.5069452256091758</v>
      </c>
      <c r="D15" s="10">
        <f t="shared" si="0"/>
        <v>4.5069452256091755E-2</v>
      </c>
      <c r="F15" s="11" t="s">
        <v>111</v>
      </c>
      <c r="G15" s="10">
        <v>-4.0030845661530599</v>
      </c>
      <c r="H15" s="12">
        <f t="shared" si="1"/>
        <v>-4.0030845661530597E-2</v>
      </c>
      <c r="I15" s="1"/>
    </row>
    <row r="16" spans="1:17" x14ac:dyDescent="0.2">
      <c r="B16" s="9" t="s">
        <v>169</v>
      </c>
      <c r="C16" s="10">
        <v>4.4580940752424443</v>
      </c>
      <c r="D16" s="10">
        <f t="shared" si="0"/>
        <v>4.4580940752424442E-2</v>
      </c>
      <c r="F16" s="11" t="s">
        <v>112</v>
      </c>
      <c r="G16" s="10">
        <v>-3.9800354346337636</v>
      </c>
      <c r="H16" s="12">
        <f t="shared" si="1"/>
        <v>-3.9800354346337635E-2</v>
      </c>
      <c r="I16" s="1"/>
    </row>
    <row r="17" spans="2:8" x14ac:dyDescent="0.2">
      <c r="B17" s="9" t="s">
        <v>170</v>
      </c>
      <c r="C17" s="10">
        <v>4.4215116009348474</v>
      </c>
      <c r="D17" s="10">
        <f t="shared" si="0"/>
        <v>4.4215116009348472E-2</v>
      </c>
      <c r="F17" s="11" t="s">
        <v>113</v>
      </c>
      <c r="G17" s="10">
        <v>-3.5531379569530239</v>
      </c>
      <c r="H17" s="12">
        <f t="shared" si="1"/>
        <v>-3.5531379569530237E-2</v>
      </c>
    </row>
    <row r="18" spans="2:8" x14ac:dyDescent="0.2">
      <c r="B18" s="9" t="s">
        <v>171</v>
      </c>
      <c r="C18" s="10">
        <v>4.3288574508265407</v>
      </c>
      <c r="D18" s="10">
        <f t="shared" si="0"/>
        <v>4.3288574508265405E-2</v>
      </c>
      <c r="F18" s="11" t="s">
        <v>114</v>
      </c>
      <c r="G18" s="10">
        <v>-3.4040470371501215</v>
      </c>
      <c r="H18" s="12">
        <f t="shared" si="1"/>
        <v>-3.4040470371501215E-2</v>
      </c>
    </row>
    <row r="19" spans="2:8" x14ac:dyDescent="0.2">
      <c r="B19" s="9" t="s">
        <v>172</v>
      </c>
      <c r="C19" s="10">
        <v>4.1932859182301261</v>
      </c>
      <c r="D19" s="10">
        <f t="shared" si="0"/>
        <v>4.193285918230126E-2</v>
      </c>
      <c r="F19" s="11" t="s">
        <v>115</v>
      </c>
      <c r="G19" s="10">
        <v>-3.3727638478001238</v>
      </c>
      <c r="H19" s="12">
        <f t="shared" si="1"/>
        <v>-3.372763847800124E-2</v>
      </c>
    </row>
    <row r="20" spans="2:8" x14ac:dyDescent="0.2">
      <c r="B20" s="9" t="s">
        <v>173</v>
      </c>
      <c r="C20" s="10">
        <v>3.7355789472986665</v>
      </c>
      <c r="D20" s="10">
        <f t="shared" si="0"/>
        <v>3.7355789472986664E-2</v>
      </c>
      <c r="F20" s="11" t="s">
        <v>116</v>
      </c>
      <c r="G20" s="10">
        <v>-3.0221043907620477</v>
      </c>
      <c r="H20" s="12">
        <f t="shared" si="1"/>
        <v>-3.0221043907620478E-2</v>
      </c>
    </row>
    <row r="21" spans="2:8" x14ac:dyDescent="0.2">
      <c r="B21" s="9" t="s">
        <v>174</v>
      </c>
      <c r="C21" s="10">
        <v>3.6504778755407252</v>
      </c>
      <c r="D21" s="10">
        <f t="shared" si="0"/>
        <v>3.6504778755407252E-2</v>
      </c>
      <c r="F21" s="11" t="s">
        <v>117</v>
      </c>
      <c r="G21" s="10">
        <v>-2.8069162750713996</v>
      </c>
      <c r="H21" s="12">
        <f t="shared" si="1"/>
        <v>-2.8069162750713996E-2</v>
      </c>
    </row>
    <row r="22" spans="2:8" x14ac:dyDescent="0.2">
      <c r="B22" s="9" t="s">
        <v>175</v>
      </c>
      <c r="C22" s="10">
        <v>3.4418984053326156</v>
      </c>
      <c r="D22" s="10">
        <f t="shared" si="0"/>
        <v>3.4418984053326156E-2</v>
      </c>
      <c r="F22" s="11" t="s">
        <v>118</v>
      </c>
      <c r="G22" s="10">
        <v>-2.7677477078642045</v>
      </c>
      <c r="H22" s="12">
        <f t="shared" si="1"/>
        <v>-2.7677477078642047E-2</v>
      </c>
    </row>
    <row r="23" spans="2:8" x14ac:dyDescent="0.2">
      <c r="B23" s="9" t="s">
        <v>176</v>
      </c>
      <c r="C23" s="10">
        <v>3.2214229707359503</v>
      </c>
      <c r="D23" s="10">
        <f t="shared" si="0"/>
        <v>3.2214229707359501E-2</v>
      </c>
      <c r="F23" s="11" t="s">
        <v>119</v>
      </c>
      <c r="G23" s="10">
        <v>-2.5823036218207527</v>
      </c>
      <c r="H23" s="12">
        <f t="shared" si="1"/>
        <v>-2.5823036218207526E-2</v>
      </c>
    </row>
    <row r="24" spans="2:8" x14ac:dyDescent="0.2">
      <c r="B24" s="9" t="s">
        <v>177</v>
      </c>
      <c r="C24" s="10">
        <v>3.1877111794494297</v>
      </c>
      <c r="D24" s="10">
        <f t="shared" si="0"/>
        <v>3.1877111794494296E-2</v>
      </c>
      <c r="F24" s="11" t="s">
        <v>120</v>
      </c>
      <c r="G24" s="10">
        <v>-2.4841451521405262</v>
      </c>
      <c r="H24" s="12">
        <f t="shared" si="1"/>
        <v>-2.4841451521405263E-2</v>
      </c>
    </row>
    <row r="25" spans="2:8" x14ac:dyDescent="0.2">
      <c r="B25" s="9" t="s">
        <v>178</v>
      </c>
      <c r="C25" s="10">
        <v>2.7433610231173611</v>
      </c>
      <c r="D25" s="10">
        <f t="shared" si="0"/>
        <v>2.7433610231173612E-2</v>
      </c>
      <c r="F25" s="11" t="s">
        <v>121</v>
      </c>
      <c r="G25" s="10">
        <v>-2.4816840753667027</v>
      </c>
      <c r="H25" s="12">
        <f t="shared" si="1"/>
        <v>-2.4816840753667028E-2</v>
      </c>
    </row>
    <row r="26" spans="2:8" x14ac:dyDescent="0.2">
      <c r="B26" s="9" t="s">
        <v>179</v>
      </c>
      <c r="C26" s="10">
        <v>2.7049612145847077</v>
      </c>
      <c r="D26" s="10">
        <f t="shared" si="0"/>
        <v>2.7049612145847078E-2</v>
      </c>
      <c r="F26" s="11" t="s">
        <v>122</v>
      </c>
      <c r="G26" s="10">
        <v>-2.4209693576546143</v>
      </c>
      <c r="H26" s="12">
        <f t="shared" si="1"/>
        <v>-2.4209693576546142E-2</v>
      </c>
    </row>
    <row r="27" spans="2:8" x14ac:dyDescent="0.2">
      <c r="B27" s="9" t="s">
        <v>180</v>
      </c>
      <c r="C27" s="10">
        <v>2.557088351759325</v>
      </c>
      <c r="D27" s="10">
        <f t="shared" si="0"/>
        <v>2.5570883517593249E-2</v>
      </c>
      <c r="F27" s="11" t="s">
        <v>123</v>
      </c>
      <c r="G27" s="10">
        <v>-2.2248305999880249</v>
      </c>
      <c r="H27" s="12">
        <f t="shared" si="1"/>
        <v>-2.2248305999880248E-2</v>
      </c>
    </row>
    <row r="28" spans="2:8" x14ac:dyDescent="0.2">
      <c r="B28" s="9" t="s">
        <v>181</v>
      </c>
      <c r="C28" s="10">
        <v>2.5271323125377014</v>
      </c>
      <c r="D28" s="10">
        <f t="shared" si="0"/>
        <v>2.5271323125377013E-2</v>
      </c>
      <c r="F28" s="11" t="s">
        <v>124</v>
      </c>
      <c r="G28" s="10">
        <v>-2.1748398540068625</v>
      </c>
      <c r="H28" s="12">
        <f t="shared" si="1"/>
        <v>-2.1748398540068624E-2</v>
      </c>
    </row>
    <row r="29" spans="2:8" x14ac:dyDescent="0.2">
      <c r="B29" s="9" t="s">
        <v>182</v>
      </c>
      <c r="C29" s="10">
        <v>2.4113228097518418</v>
      </c>
      <c r="D29" s="10">
        <f t="shared" si="0"/>
        <v>2.4113228097518417E-2</v>
      </c>
      <c r="F29" s="11" t="s">
        <v>125</v>
      </c>
      <c r="G29" s="10">
        <v>-2.171844364431843</v>
      </c>
      <c r="H29" s="12">
        <f t="shared" si="1"/>
        <v>-2.1718443644318429E-2</v>
      </c>
    </row>
    <row r="30" spans="2:8" x14ac:dyDescent="0.2">
      <c r="B30" s="9" t="s">
        <v>183</v>
      </c>
      <c r="C30" s="10">
        <v>2.3533343910082296</v>
      </c>
      <c r="D30" s="10">
        <f t="shared" si="0"/>
        <v>2.3533343910082296E-2</v>
      </c>
      <c r="F30" s="11" t="s">
        <v>126</v>
      </c>
      <c r="G30" s="10">
        <v>-2.0659730878226759</v>
      </c>
      <c r="H30" s="12">
        <f t="shared" si="1"/>
        <v>-2.065973087822676E-2</v>
      </c>
    </row>
    <row r="31" spans="2:8" x14ac:dyDescent="0.2">
      <c r="B31" s="9" t="s">
        <v>184</v>
      </c>
      <c r="C31" s="10">
        <v>2.0970622879714469</v>
      </c>
      <c r="D31" s="10">
        <f t="shared" si="0"/>
        <v>2.0970622879714469E-2</v>
      </c>
      <c r="F31" s="11" t="s">
        <v>127</v>
      </c>
      <c r="G31" s="10">
        <v>-2.0436052664847062</v>
      </c>
      <c r="H31" s="12">
        <f t="shared" si="1"/>
        <v>-2.0436052664847063E-2</v>
      </c>
    </row>
    <row r="32" spans="2:8" x14ac:dyDescent="0.2">
      <c r="B32" s="9" t="s">
        <v>185</v>
      </c>
      <c r="C32" s="10">
        <v>2.0260836036066894</v>
      </c>
      <c r="D32" s="10">
        <f t="shared" si="0"/>
        <v>2.0260836036066893E-2</v>
      </c>
      <c r="F32" s="11" t="s">
        <v>128</v>
      </c>
      <c r="G32" s="10">
        <v>-2.007008042912918</v>
      </c>
      <c r="H32" s="12">
        <f t="shared" si="1"/>
        <v>-2.0070080429129181E-2</v>
      </c>
    </row>
    <row r="33" spans="2:8" x14ac:dyDescent="0.2">
      <c r="B33" s="9" t="s">
        <v>186</v>
      </c>
      <c r="C33" s="10">
        <v>2.0007870281536517</v>
      </c>
      <c r="D33" s="10">
        <f t="shared" si="0"/>
        <v>2.0007870281536517E-2</v>
      </c>
      <c r="F33" s="11" t="s">
        <v>129</v>
      </c>
      <c r="G33" s="10">
        <v>-2.0059792982706162</v>
      </c>
      <c r="H33" s="12">
        <f t="shared" si="1"/>
        <v>-2.0059792982706163E-2</v>
      </c>
    </row>
    <row r="34" spans="2:8" x14ac:dyDescent="0.2">
      <c r="B34" s="9" t="s">
        <v>187</v>
      </c>
      <c r="C34" s="10">
        <v>1.9810424593554132</v>
      </c>
      <c r="D34" s="10">
        <f t="shared" si="0"/>
        <v>1.9810424593554133E-2</v>
      </c>
      <c r="F34" s="11" t="s">
        <v>130</v>
      </c>
      <c r="G34" s="10">
        <v>-1.8043046060173829</v>
      </c>
      <c r="H34" s="12">
        <f t="shared" si="1"/>
        <v>-1.8043046060173828E-2</v>
      </c>
    </row>
    <row r="35" spans="2:8" x14ac:dyDescent="0.2">
      <c r="B35" s="9" t="s">
        <v>188</v>
      </c>
      <c r="C35" s="10">
        <v>1.9706840987942496</v>
      </c>
      <c r="D35" s="10">
        <f t="shared" si="0"/>
        <v>1.9706840987942495E-2</v>
      </c>
      <c r="F35" s="11" t="s">
        <v>131</v>
      </c>
      <c r="G35" s="10">
        <v>-1.7191258856667928</v>
      </c>
      <c r="H35" s="12">
        <f t="shared" si="1"/>
        <v>-1.7191258856667928E-2</v>
      </c>
    </row>
    <row r="36" spans="2:8" x14ac:dyDescent="0.2">
      <c r="B36" s="9" t="s">
        <v>189</v>
      </c>
      <c r="C36" s="10">
        <v>1.9322991175116953</v>
      </c>
      <c r="D36" s="10">
        <f t="shared" si="0"/>
        <v>1.9322991175116953E-2</v>
      </c>
      <c r="F36" s="11" t="s">
        <v>132</v>
      </c>
      <c r="G36" s="10">
        <v>-1.5428259465808316</v>
      </c>
      <c r="H36" s="12">
        <f t="shared" si="1"/>
        <v>-1.5428259465808315E-2</v>
      </c>
    </row>
    <row r="37" spans="2:8" x14ac:dyDescent="0.2">
      <c r="B37" s="9" t="s">
        <v>190</v>
      </c>
      <c r="C37" s="10">
        <v>1.8276759572376262</v>
      </c>
      <c r="D37" s="10">
        <f t="shared" si="0"/>
        <v>1.8276759572376261E-2</v>
      </c>
      <c r="F37" s="11" t="s">
        <v>133</v>
      </c>
      <c r="G37" s="10">
        <v>-1.4780023351977669</v>
      </c>
      <c r="H37" s="12">
        <f t="shared" si="1"/>
        <v>-1.4780023351977669E-2</v>
      </c>
    </row>
    <row r="38" spans="2:8" x14ac:dyDescent="0.2">
      <c r="B38" s="9" t="s">
        <v>191</v>
      </c>
      <c r="C38" s="10">
        <v>1.6604767924836827</v>
      </c>
      <c r="D38" s="10">
        <f t="shared" si="0"/>
        <v>1.6604767924836828E-2</v>
      </c>
      <c r="F38" s="11" t="s">
        <v>134</v>
      </c>
      <c r="G38" s="10">
        <v>-1.4558245346491336</v>
      </c>
      <c r="H38" s="12">
        <f t="shared" si="1"/>
        <v>-1.4558245346491337E-2</v>
      </c>
    </row>
    <row r="39" spans="2:8" x14ac:dyDescent="0.2">
      <c r="B39" s="9" t="s">
        <v>192</v>
      </c>
      <c r="C39" s="10">
        <v>1.6445098872439958</v>
      </c>
      <c r="D39" s="10">
        <f t="shared" si="0"/>
        <v>1.6445098872439959E-2</v>
      </c>
      <c r="F39" s="11" t="s">
        <v>135</v>
      </c>
      <c r="G39" s="10">
        <v>-1.4135991109142569</v>
      </c>
      <c r="H39" s="12">
        <f t="shared" si="1"/>
        <v>-1.4135991109142569E-2</v>
      </c>
    </row>
    <row r="40" spans="2:8" x14ac:dyDescent="0.2">
      <c r="B40" s="9" t="s">
        <v>193</v>
      </c>
      <c r="C40" s="10">
        <v>1.4901618137897266</v>
      </c>
      <c r="D40" s="10">
        <f t="shared" si="0"/>
        <v>1.4901618137897265E-2</v>
      </c>
      <c r="F40" s="11" t="s">
        <v>136</v>
      </c>
      <c r="G40" s="10">
        <v>-1.3705227935299515</v>
      </c>
      <c r="H40" s="12">
        <f t="shared" si="1"/>
        <v>-1.3705227935299515E-2</v>
      </c>
    </row>
    <row r="41" spans="2:8" x14ac:dyDescent="0.2">
      <c r="B41" s="9" t="s">
        <v>194</v>
      </c>
      <c r="C41" s="10">
        <v>1.4354222015801164</v>
      </c>
      <c r="D41" s="10">
        <f t="shared" si="0"/>
        <v>1.4354222015801164E-2</v>
      </c>
      <c r="F41" s="11" t="s">
        <v>137</v>
      </c>
      <c r="G41" s="10">
        <v>-1.3447737529812482</v>
      </c>
      <c r="H41" s="12">
        <f t="shared" si="1"/>
        <v>-1.3447737529812482E-2</v>
      </c>
    </row>
    <row r="42" spans="2:8" x14ac:dyDescent="0.2">
      <c r="B42" s="9" t="s">
        <v>195</v>
      </c>
      <c r="C42" s="10">
        <v>1.3572438259438038</v>
      </c>
      <c r="D42" s="10">
        <f t="shared" si="0"/>
        <v>1.3572438259438038E-2</v>
      </c>
      <c r="F42" s="11" t="s">
        <v>138</v>
      </c>
      <c r="G42" s="10">
        <v>-1.1920275951266028</v>
      </c>
      <c r="H42" s="12">
        <f t="shared" si="1"/>
        <v>-1.1920275951266029E-2</v>
      </c>
    </row>
    <row r="43" spans="2:8" x14ac:dyDescent="0.2">
      <c r="B43" s="9" t="s">
        <v>196</v>
      </c>
      <c r="C43" s="10">
        <v>1.264754695629926</v>
      </c>
      <c r="D43" s="10">
        <f t="shared" si="0"/>
        <v>1.2647546956299261E-2</v>
      </c>
      <c r="F43" s="11" t="s">
        <v>139</v>
      </c>
      <c r="G43" s="10">
        <v>-1.1627162435045821</v>
      </c>
      <c r="H43" s="12">
        <f t="shared" ref="H43:H74" si="2">IF(F43="","",G43/100)</f>
        <v>-1.1627162435045822E-2</v>
      </c>
    </row>
    <row r="44" spans="2:8" x14ac:dyDescent="0.2">
      <c r="B44" s="9" t="s">
        <v>197</v>
      </c>
      <c r="C44" s="10">
        <v>0.83052147628999951</v>
      </c>
      <c r="D44" s="10">
        <f t="shared" si="0"/>
        <v>8.3052147628999949E-3</v>
      </c>
      <c r="F44" s="11" t="s">
        <v>140</v>
      </c>
      <c r="G44" s="10">
        <v>-1.0914495185768041</v>
      </c>
      <c r="H44" s="12">
        <f t="shared" si="2"/>
        <v>-1.0914495185768041E-2</v>
      </c>
    </row>
    <row r="45" spans="2:8" x14ac:dyDescent="0.2">
      <c r="B45" s="9" t="s">
        <v>198</v>
      </c>
      <c r="C45" s="10">
        <v>0.73327653502686652</v>
      </c>
      <c r="D45" s="10">
        <f t="shared" si="0"/>
        <v>7.3327653502686654E-3</v>
      </c>
      <c r="F45" s="11" t="s">
        <v>141</v>
      </c>
      <c r="G45" s="10">
        <v>-1.0548534855285827</v>
      </c>
      <c r="H45" s="12">
        <f t="shared" si="2"/>
        <v>-1.0548534855285827E-2</v>
      </c>
    </row>
    <row r="46" spans="2:8" x14ac:dyDescent="0.2">
      <c r="B46" s="9" t="s">
        <v>199</v>
      </c>
      <c r="C46" s="10">
        <v>0.67216782015429244</v>
      </c>
      <c r="D46" s="10">
        <f t="shared" si="0"/>
        <v>6.7216782015429247E-3</v>
      </c>
      <c r="F46" s="11" t="s">
        <v>142</v>
      </c>
      <c r="G46" s="10">
        <v>-1.0288980875615958</v>
      </c>
      <c r="H46" s="12">
        <f t="shared" si="2"/>
        <v>-1.0288980875615958E-2</v>
      </c>
    </row>
    <row r="47" spans="2:8" x14ac:dyDescent="0.2">
      <c r="B47" s="9" t="s">
        <v>200</v>
      </c>
      <c r="C47" s="10">
        <v>0.41365323369863061</v>
      </c>
      <c r="D47" s="10">
        <f t="shared" si="0"/>
        <v>4.1365323369863061E-3</v>
      </c>
      <c r="F47" s="11" t="s">
        <v>143</v>
      </c>
      <c r="G47" s="10">
        <v>-1.0210247583717018</v>
      </c>
      <c r="H47" s="12">
        <f t="shared" si="2"/>
        <v>-1.0210247583717018E-2</v>
      </c>
    </row>
    <row r="48" spans="2:8" x14ac:dyDescent="0.2">
      <c r="B48" s="9" t="s">
        <v>13</v>
      </c>
      <c r="C48" s="10">
        <v>0.1047909426122946</v>
      </c>
      <c r="D48" s="10">
        <f t="shared" si="0"/>
        <v>1.047909426122946E-3</v>
      </c>
      <c r="F48" s="11" t="s">
        <v>144</v>
      </c>
      <c r="G48" s="10">
        <v>-1.0065331102521475</v>
      </c>
      <c r="H48" s="12">
        <f t="shared" si="2"/>
        <v>-1.0065331102521476E-2</v>
      </c>
    </row>
    <row r="49" spans="2:8" x14ac:dyDescent="0.2">
      <c r="B49" s="9"/>
      <c r="C49" s="11"/>
      <c r="D49" s="11"/>
      <c r="F49" s="11" t="s">
        <v>145</v>
      </c>
      <c r="G49" s="10">
        <v>-1.0027899057368415</v>
      </c>
      <c r="H49" s="12">
        <f t="shared" si="2"/>
        <v>-1.0027899057368415E-2</v>
      </c>
    </row>
    <row r="50" spans="2:8" x14ac:dyDescent="0.2">
      <c r="F50" s="11" t="s">
        <v>146</v>
      </c>
      <c r="G50" s="10">
        <v>-0.89886116674786209</v>
      </c>
      <c r="H50" s="12">
        <f t="shared" si="2"/>
        <v>-8.9886116674786215E-3</v>
      </c>
    </row>
    <row r="51" spans="2:8" x14ac:dyDescent="0.2">
      <c r="F51" s="11" t="s">
        <v>147</v>
      </c>
      <c r="G51" s="10">
        <v>-0.87744232497320407</v>
      </c>
      <c r="H51" s="12">
        <f t="shared" si="2"/>
        <v>-8.7744232497320405E-3</v>
      </c>
    </row>
    <row r="52" spans="2:8" x14ac:dyDescent="0.2">
      <c r="F52" s="11" t="s">
        <v>148</v>
      </c>
      <c r="G52" s="10">
        <v>-0.8406649355016067</v>
      </c>
      <c r="H52" s="12">
        <f t="shared" si="2"/>
        <v>-8.4066493550160673E-3</v>
      </c>
    </row>
    <row r="53" spans="2:8" x14ac:dyDescent="0.2">
      <c r="F53" s="11" t="s">
        <v>149</v>
      </c>
      <c r="G53" s="10">
        <v>-0.82422221767630077</v>
      </c>
      <c r="H53" s="12">
        <f t="shared" si="2"/>
        <v>-8.2422221767630074E-3</v>
      </c>
    </row>
    <row r="54" spans="2:8" x14ac:dyDescent="0.2">
      <c r="D54" s="1"/>
      <c r="F54" s="11" t="s">
        <v>150</v>
      </c>
      <c r="G54" s="10">
        <v>-0.77806337021618732</v>
      </c>
      <c r="H54" s="12">
        <f t="shared" si="2"/>
        <v>-7.7806337021618733E-3</v>
      </c>
    </row>
    <row r="55" spans="2:8" x14ac:dyDescent="0.2">
      <c r="D55" s="1"/>
      <c r="F55" s="11" t="s">
        <v>151</v>
      </c>
      <c r="G55" s="10">
        <v>-0.71626659886207356</v>
      </c>
      <c r="H55" s="12">
        <f t="shared" si="2"/>
        <v>-7.162665988620736E-3</v>
      </c>
    </row>
    <row r="56" spans="2:8" x14ac:dyDescent="0.2">
      <c r="D56" s="1"/>
      <c r="F56" s="11" t="s">
        <v>152</v>
      </c>
      <c r="G56" s="10">
        <v>-0.6398799611941266</v>
      </c>
      <c r="H56" s="12">
        <f t="shared" si="2"/>
        <v>-6.398799611941266E-3</v>
      </c>
    </row>
    <row r="57" spans="2:8" x14ac:dyDescent="0.2">
      <c r="D57" s="1"/>
      <c r="F57" s="11" t="s">
        <v>153</v>
      </c>
      <c r="G57" s="10">
        <v>-0.62728422185505217</v>
      </c>
      <c r="H57" s="12">
        <f t="shared" si="2"/>
        <v>-6.2728422185505221E-3</v>
      </c>
    </row>
    <row r="58" spans="2:8" x14ac:dyDescent="0.2">
      <c r="D58" s="1"/>
      <c r="F58" s="11" t="s">
        <v>154</v>
      </c>
      <c r="G58" s="10">
        <v>-0.57783913250877372</v>
      </c>
      <c r="H58" s="12">
        <f t="shared" si="2"/>
        <v>-5.778391325087737E-3</v>
      </c>
    </row>
    <row r="59" spans="2:8" x14ac:dyDescent="0.2">
      <c r="D59" s="1"/>
      <c r="F59" s="11" t="s">
        <v>155</v>
      </c>
      <c r="G59" s="10">
        <v>-0.55063037778650714</v>
      </c>
      <c r="H59" s="12">
        <f t="shared" si="2"/>
        <v>-5.5063037778650716E-3</v>
      </c>
    </row>
    <row r="60" spans="2:8" x14ac:dyDescent="0.2">
      <c r="D60" s="1"/>
      <c r="F60" s="11" t="s">
        <v>156</v>
      </c>
      <c r="G60" s="10">
        <v>-0.51724082154546047</v>
      </c>
      <c r="H60" s="12">
        <f t="shared" si="2"/>
        <v>-5.1724082154546045E-3</v>
      </c>
    </row>
    <row r="61" spans="2:8" x14ac:dyDescent="0.2">
      <c r="D61" s="1"/>
      <c r="F61" s="11" t="s">
        <v>157</v>
      </c>
      <c r="G61" s="10">
        <v>-0.50750167736525298</v>
      </c>
      <c r="H61" s="12">
        <f t="shared" si="2"/>
        <v>-5.07501677365253E-3</v>
      </c>
    </row>
    <row r="62" spans="2:8" x14ac:dyDescent="0.2">
      <c r="D62" s="1"/>
      <c r="F62" s="11" t="s">
        <v>158</v>
      </c>
      <c r="G62" s="10">
        <v>-0.40397903919302397</v>
      </c>
      <c r="H62" s="12">
        <f t="shared" si="2"/>
        <v>-4.0397903919302397E-3</v>
      </c>
    </row>
    <row r="63" spans="2:8" x14ac:dyDescent="0.2">
      <c r="D63" s="1"/>
      <c r="F63" s="11" t="s">
        <v>159</v>
      </c>
      <c r="G63" s="10">
        <v>-0.38088235287124544</v>
      </c>
      <c r="H63" s="12">
        <f t="shared" si="2"/>
        <v>-3.8088235287124543E-3</v>
      </c>
    </row>
    <row r="64" spans="2:8" x14ac:dyDescent="0.2">
      <c r="D64" s="1"/>
      <c r="F64" s="11" t="s">
        <v>160</v>
      </c>
      <c r="G64" s="10">
        <v>-0.35868874481524993</v>
      </c>
      <c r="H64" s="12">
        <f t="shared" si="2"/>
        <v>-3.5868874481524995E-3</v>
      </c>
    </row>
    <row r="65" spans="4:8" x14ac:dyDescent="0.2">
      <c r="D65" s="1"/>
      <c r="F65" s="11" t="s">
        <v>161</v>
      </c>
      <c r="G65" s="10">
        <v>-0.31176710244966732</v>
      </c>
      <c r="H65" s="12">
        <f t="shared" si="2"/>
        <v>-3.1176710244966732E-3</v>
      </c>
    </row>
    <row r="66" spans="4:8" x14ac:dyDescent="0.2">
      <c r="D66" s="1"/>
      <c r="F66" s="11" t="s">
        <v>162</v>
      </c>
      <c r="G66" s="10">
        <v>-0.30613718264142664</v>
      </c>
      <c r="H66" s="12">
        <f t="shared" si="2"/>
        <v>-3.0613718264142662E-3</v>
      </c>
    </row>
    <row r="67" spans="4:8" x14ac:dyDescent="0.2">
      <c r="D67" s="1"/>
      <c r="F67" s="11" t="s">
        <v>163</v>
      </c>
      <c r="G67" s="10">
        <v>-0.27818329244660178</v>
      </c>
      <c r="H67" s="12">
        <f t="shared" si="2"/>
        <v>-2.7818329244660178E-3</v>
      </c>
    </row>
    <row r="68" spans="4:8" x14ac:dyDescent="0.2">
      <c r="D68" s="1"/>
      <c r="F68" s="11" t="s">
        <v>14</v>
      </c>
      <c r="G68" s="10">
        <v>-0.22417558766991635</v>
      </c>
      <c r="H68" s="12">
        <f t="shared" si="2"/>
        <v>-2.2417558766991636E-3</v>
      </c>
    </row>
    <row r="69" spans="4:8" x14ac:dyDescent="0.2">
      <c r="D69" s="1"/>
      <c r="F69" s="11"/>
      <c r="G69" s="11"/>
      <c r="H69" s="13"/>
    </row>
    <row r="70" spans="4:8" x14ac:dyDescent="0.2">
      <c r="D70" s="1"/>
    </row>
    <row r="71" spans="4:8" x14ac:dyDescent="0.2">
      <c r="D71" s="1"/>
    </row>
    <row r="72" spans="4:8" x14ac:dyDescent="0.2">
      <c r="D72" s="1"/>
      <c r="G72" t="s">
        <v>5</v>
      </c>
    </row>
    <row r="73" spans="4:8" x14ac:dyDescent="0.2">
      <c r="D73" s="1"/>
    </row>
    <row r="74" spans="4:8" x14ac:dyDescent="0.2">
      <c r="D74" s="1"/>
      <c r="H74" s="1"/>
    </row>
    <row r="75" spans="4:8" x14ac:dyDescent="0.2">
      <c r="D75" s="1"/>
      <c r="H75" s="1"/>
    </row>
    <row r="76" spans="4:8" x14ac:dyDescent="0.2">
      <c r="D76" s="1"/>
      <c r="H76" s="1"/>
    </row>
    <row r="77" spans="4:8" x14ac:dyDescent="0.2">
      <c r="D77" s="1"/>
      <c r="H77" s="1"/>
    </row>
    <row r="78" spans="4:8" x14ac:dyDescent="0.2">
      <c r="D78" s="1"/>
      <c r="H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H178" s="1"/>
    </row>
    <row r="179" spans="4:8" x14ac:dyDescent="0.2">
      <c r="H179" s="1"/>
    </row>
    <row r="180" spans="4:8" x14ac:dyDescent="0.2"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2026-08-17T18:37:55Z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{"begin":"8/14/2026", "end":"8/14/2026", "periodicity":"Weekday"}</vt:lpwstr>
  </property>
  <property fmtid="{D5CDD505-2E9C-101B-9397-08002B2CF9AE}" pid="10" name="filterspec">
    <vt:lpwstr/>
  </property>
  <property fmtid="{D5CDD505-2E9C-101B-9397-08002B2CF9AE}" pid="11" name="identifier">
    <vt:lpwstr>34554033</vt:lpwstr>
  </property>
  <property fmtid="{D5CDD505-2E9C-101B-9397-08002B2CF9AE}" pid="12" name="beaconPortfolio">
    <vt:lpwstr>LKP_MASTER__PORT_20260814232947</vt:lpwstr>
  </property>
</Properties>
</file>