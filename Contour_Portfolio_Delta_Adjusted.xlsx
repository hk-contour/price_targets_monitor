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9BEBF5D6-FB02-B540-BFE8-33A7CE52766F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<sst xmlns="http://schemas.openxmlformats.org/spreadsheetml/2006/main" count="268" uniqueCount="237">
  <si>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</si>
  <si>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</si>
  <si>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</si>
  <si>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</si>
  <si>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</si>
  <si>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</si>
  <si>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</si>
  <si>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</si>
  <si>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LION</t>
  </si>
  <si>
    <t>SITM</t>
  </si>
  <si>
    <t>PUBP</t>
  </si>
  <si>
    <t/>
  </si>
  <si>
    <t>Manticore Master Fund</t>
  </si>
  <si>
    <t>DASH US 01/15/27 P150 OTC (DASH 1/15/27 P150 OTC)</t>
  </si>
  <si>
    <t>SITIME ORD (NMS)</t>
  </si>
  <si>
    <t>Instrument</t>
  </si>
  <si>
    <t>PUBLICIS GROUPE ORD (PAR) CFD</t>
  </si>
  <si>
    <t>CINTAS ORD (NMS)</t>
  </si>
  <si>
    <t>CTAS</t>
  </si>
  <si>
    <t>ACN</t>
  </si>
  <si>
    <t>ADSK</t>
  </si>
  <si>
    <t>7751</t>
  </si>
  <si>
    <t>GEV</t>
  </si>
  <si>
    <t>AAPL</t>
  </si>
  <si>
    <t>EFX</t>
  </si>
  <si>
    <t>HQY</t>
  </si>
  <si>
    <t>FICO</t>
  </si>
  <si>
    <t>CSU</t>
  </si>
  <si>
    <t>EXPE</t>
  </si>
  <si>
    <t>LOGI</t>
  </si>
  <si>
    <t>WSM</t>
  </si>
  <si>
    <t>EXLS</t>
  </si>
  <si>
    <t>LAMR</t>
  </si>
  <si>
    <t>NOW</t>
  </si>
  <si>
    <t>VRSK</t>
  </si>
  <si>
    <t>8136</t>
  </si>
  <si>
    <t>GRMN</t>
  </si>
  <si>
    <t>ARMK</t>
  </si>
  <si>
    <t>6098</t>
  </si>
  <si>
    <t>FNF</t>
  </si>
  <si>
    <t>TEAM</t>
  </si>
  <si>
    <t>MANH</t>
  </si>
  <si>
    <t>IT</t>
  </si>
  <si>
    <t>REA</t>
  </si>
  <si>
    <t>BBY</t>
  </si>
  <si>
    <t>ADBE</t>
  </si>
  <si>
    <t>IBM</t>
  </si>
  <si>
    <t>ANET</t>
  </si>
  <si>
    <t>IOT</t>
  </si>
  <si>
    <t>DUOL</t>
  </si>
  <si>
    <t>STX</t>
  </si>
  <si>
    <t>FAF</t>
  </si>
  <si>
    <t>NYT</t>
  </si>
  <si>
    <t>COIN</t>
  </si>
  <si>
    <t>EBAY</t>
  </si>
  <si>
    <t>RNG</t>
  </si>
  <si>
    <t>SYF</t>
  </si>
  <si>
    <t>CVSA</t>
  </si>
  <si>
    <t>LOPE</t>
  </si>
  <si>
    <t>RHI</t>
  </si>
  <si>
    <t>ALAB</t>
  </si>
  <si>
    <t>TTAN</t>
  </si>
  <si>
    <t>GM</t>
  </si>
  <si>
    <t>BFH</t>
  </si>
  <si>
    <t>TT</t>
  </si>
  <si>
    <t>POWL</t>
  </si>
  <si>
    <t>WDC</t>
  </si>
  <si>
    <t>CIEN</t>
  </si>
  <si>
    <t>SOFI</t>
  </si>
  <si>
    <t>QLYS</t>
  </si>
  <si>
    <t>HRB</t>
  </si>
  <si>
    <t>F</t>
  </si>
  <si>
    <t>FIX</t>
  </si>
  <si>
    <t>FDS</t>
  </si>
  <si>
    <t>ESLT</t>
  </si>
  <si>
    <t>CARG</t>
  </si>
  <si>
    <t>SEZL</t>
  </si>
  <si>
    <t>SGI</t>
  </si>
  <si>
    <t>SYM</t>
  </si>
  <si>
    <t>CHYM</t>
  </si>
  <si>
    <t>DOCN</t>
  </si>
  <si>
    <t>CRWV</t>
  </si>
  <si>
    <t>3034</t>
  </si>
  <si>
    <t>SLM</t>
  </si>
  <si>
    <t>CNXC</t>
  </si>
  <si>
    <t>DAVE</t>
  </si>
  <si>
    <t>HUT</t>
  </si>
  <si>
    <t>TEPRF</t>
  </si>
  <si>
    <t>CHH</t>
  </si>
  <si>
    <t>NBIS</t>
  </si>
  <si>
    <t>XYZ</t>
  </si>
  <si>
    <t>TRMB</t>
  </si>
  <si>
    <t>IRM</t>
  </si>
  <si>
    <t>W</t>
  </si>
  <si>
    <t>ETN</t>
  </si>
  <si>
    <t>TSLA</t>
  </si>
  <si>
    <t>GLBE</t>
  </si>
  <si>
    <t>GOOG</t>
  </si>
  <si>
    <t>RACE</t>
  </si>
  <si>
    <t>LYFT</t>
  </si>
  <si>
    <t>AG1G</t>
  </si>
  <si>
    <t>SPOT</t>
  </si>
  <si>
    <t>SHOP</t>
  </si>
  <si>
    <t>005930</t>
  </si>
  <si>
    <t>TSM</t>
  </si>
  <si>
    <t>AMZN</t>
  </si>
  <si>
    <t>ZBRA</t>
  </si>
  <si>
    <t>SAPG</t>
  </si>
  <si>
    <t>PCOR</t>
  </si>
  <si>
    <t>NOD</t>
  </si>
  <si>
    <t>DOCS</t>
  </si>
  <si>
    <t>6857</t>
  </si>
  <si>
    <t>CART</t>
  </si>
  <si>
    <t>Z</t>
  </si>
  <si>
    <t>ZETA</t>
  </si>
  <si>
    <t>DASH</t>
  </si>
  <si>
    <t>UBER</t>
  </si>
  <si>
    <t>SPHR</t>
  </si>
  <si>
    <t>RRX</t>
  </si>
  <si>
    <t>5802</t>
  </si>
  <si>
    <t>AMAT</t>
  </si>
  <si>
    <t>TER</t>
  </si>
  <si>
    <t>HPE</t>
  </si>
  <si>
    <t>ACM</t>
  </si>
  <si>
    <t>DKNG</t>
  </si>
  <si>
    <t>RBLX</t>
  </si>
  <si>
    <t>ACCENTURE CL A ORD (NYS)</t>
  </si>
  <si>
    <t>AUTODESK ORD (NMS)</t>
  </si>
  <si>
    <t>CANON ORD (TYO) CFD</t>
  </si>
  <si>
    <t>GE VERNOVA ORD (NYS)</t>
  </si>
  <si>
    <t>APPLE ORD (NMS)</t>
  </si>
  <si>
    <t>EQUIFAX ORD (NYS)</t>
  </si>
  <si>
    <t>HEALTHEQUITY ORD (NMS)</t>
  </si>
  <si>
    <t>FAIR ISAAC ORD (NYS)</t>
  </si>
  <si>
    <t>CONSTELLATION SOFTWARE ORD (TOR)</t>
  </si>
  <si>
    <t>EXPEDIA GROUP ORD (NMS)</t>
  </si>
  <si>
    <t>LOGITECH N ORD (NMS)</t>
  </si>
  <si>
    <t>WILLIAMS SONOMA ORD (NYS)</t>
  </si>
  <si>
    <t>EXLSERVICE HOLDINGS ORD (NMS)</t>
  </si>
  <si>
    <t>LAMAR ADVERTISING CL A REIT (NMS)</t>
  </si>
  <si>
    <t>SERVICENOW ORD (NYS)</t>
  </si>
  <si>
    <t>VERISK ANALYTICS ORD (NMS)</t>
  </si>
  <si>
    <t>SANRIO ORD (TYO) CFD</t>
  </si>
  <si>
    <t>GARMIN ORD (NYS)</t>
  </si>
  <si>
    <t>ARAMARK ORD (NYS)</t>
  </si>
  <si>
    <t>RECRUIT HOLDINGS CO LTD (TYO) CFD</t>
  </si>
  <si>
    <t>FIDELITY NATIONAL FINANCIAL ORD (NYS)</t>
  </si>
  <si>
    <t>ATLASSIAN CL A ORD (NMS)</t>
  </si>
  <si>
    <t>MANHATTAN ASSOCIATES ORD (NMS)</t>
  </si>
  <si>
    <t>GARTNER ORD (NYS)</t>
  </si>
  <si>
    <t>REA GROUP ORD (ASX) CFD</t>
  </si>
  <si>
    <t>SPOT US 01/21/28 C700 OTC (SPOT 1/21/28 C700 OTC)</t>
  </si>
  <si>
    <t>BEST BUY ORD (NYS)</t>
  </si>
  <si>
    <t>ADOBE ORD (NMS)</t>
  </si>
  <si>
    <t>INTERNATIONAL BUSINESS MACHINES ORD (NYS)</t>
  </si>
  <si>
    <t>ARISTA NETWORKS ORD (NYS)</t>
  </si>
  <si>
    <t>SAMSARA CL A ORD (NYS)</t>
  </si>
  <si>
    <t>DUOLINGO CL A ORD (NMS)</t>
  </si>
  <si>
    <t>SEAGATE TECHNOLOGY HOLDINGS ORD (NMS)</t>
  </si>
  <si>
    <t>FIRST AMERICAN FINANCIAL ORD (NYS)</t>
  </si>
  <si>
    <t>NEW YORK TIMES CL A ORD (NYS)</t>
  </si>
  <si>
    <t>COINBASE GLOBAL CL A ORD (NMS)</t>
  </si>
  <si>
    <t>EBAY ORD (NMS)</t>
  </si>
  <si>
    <t>RINGCENTRAL CL A ORD (NYS)</t>
  </si>
  <si>
    <t>SYNCHRONY FINANCIAL ORD (NYS)</t>
  </si>
  <si>
    <t>COVISTA ORD (NYS)</t>
  </si>
  <si>
    <t>GRAND CANYON EDUCATION ORD (NMS)</t>
  </si>
  <si>
    <t>ROBERT HALF ORD (NYS)</t>
  </si>
  <si>
    <t>ASTERA LABS ORD (NMS)</t>
  </si>
  <si>
    <t>SERVICETITAN CL A ORD (NMS)</t>
  </si>
  <si>
    <t>GENERAL MOTORS ORD (NYS)</t>
  </si>
  <si>
    <t>BREAD FINANCIAL HOLDINGS ORD (NYS)</t>
  </si>
  <si>
    <t>TRANE TECHNOLOGIES ORD (NYS)</t>
  </si>
  <si>
    <t>POWELL INDUSTRIES ORD (NMS)</t>
  </si>
  <si>
    <t>WESTERN DIGITAL ORD (NMS)</t>
  </si>
  <si>
    <t>CIENA ORD (NYS)</t>
  </si>
  <si>
    <t>SOFI TECHNOLOGIES ORD (NMS)</t>
  </si>
  <si>
    <t>QUALYS ORD (NMS)</t>
  </si>
  <si>
    <t>H&amp;R BLOCK ORD (NYS)</t>
  </si>
  <si>
    <t>FORD MOTOR ORD (NYS)</t>
  </si>
  <si>
    <t>COMFORT SYSTEMS USA ORD (NYS)</t>
  </si>
  <si>
    <t>FACTSET RESEARCH SYSTEMS ORD (NYS)</t>
  </si>
  <si>
    <t>ELBIT SYSTEMS ORD (NMS)</t>
  </si>
  <si>
    <t>CARGURUS CL A ORD (NMS)</t>
  </si>
  <si>
    <t>SEZZLE INC (NMS)</t>
  </si>
  <si>
    <t>SOMNIGROUP INTERNATIONAL ORD (NYS)</t>
  </si>
  <si>
    <t>SYMBOTIC CL A ORD (NMS)</t>
  </si>
  <si>
    <t>CHIME FINANCIAL CL A ORD (NMS)</t>
  </si>
  <si>
    <t>DIGITALOCEAN HOLDINGS ORD (NYS)</t>
  </si>
  <si>
    <t>COREWEAVE CL A ORD (NMS)</t>
  </si>
  <si>
    <t>NOVATEK MICROELE ORD (TAI) CFD_USD</t>
  </si>
  <si>
    <t>SLM ORD (NMS)</t>
  </si>
  <si>
    <t>CONCENTRIX ORD (NMS)</t>
  </si>
  <si>
    <t>DAVE CL A ORD (NMS)</t>
  </si>
  <si>
    <t>HUT 8 ORD (NMS)</t>
  </si>
  <si>
    <t>TELEPERFORMANCE ORD (PAR) CFD</t>
  </si>
  <si>
    <t>CHOICE HOTELS INTERNATIONAL ORD (NYS)</t>
  </si>
  <si>
    <t>NEBIUS CL A ORD (NMS)</t>
  </si>
  <si>
    <t>BLOCK CL A ORD (NYS)</t>
  </si>
  <si>
    <t>TRIMBLE ORD (NMS)</t>
  </si>
  <si>
    <t>IRON MOUNTAIN ORD (NYS)</t>
  </si>
  <si>
    <t>WAYFAIR CL A ORD (NYS)</t>
  </si>
  <si>
    <t>EATON ORD (NYS)</t>
  </si>
  <si>
    <t>TESLA ORD (NMS)</t>
  </si>
  <si>
    <t>SPOTIFY TECHNOLOGY ORD (NYS)</t>
  </si>
  <si>
    <t>GLOBAL E ONLINE ORD (NMS)</t>
  </si>
  <si>
    <t>ALPHABET CL A ORD (NMS)</t>
  </si>
  <si>
    <t>LYFT CL A ORD (NMS)</t>
  </si>
  <si>
    <t>AUTO1 GROUP ORD (GER)</t>
  </si>
  <si>
    <t>SHOPIFY CL A SUB VTG ORD (NMS)</t>
  </si>
  <si>
    <t>SAMSUNG ELECTR ORD (KSC) CFD_USD</t>
  </si>
  <si>
    <t>TWN SEMICONT MAN ORD (TAI) CFD_USD</t>
  </si>
  <si>
    <t>AMAZON COM ORD (NMS)</t>
  </si>
  <si>
    <t>ZEBRA TECHNOLOGIES CL A ORD (NMS)</t>
  </si>
  <si>
    <t>SAP ORD (GER)</t>
  </si>
  <si>
    <t>PROCORE TECHNOLOGIES ORD (NYS)</t>
  </si>
  <si>
    <t>NORDIC SEMICONDUCTOR ORD (OSL)</t>
  </si>
  <si>
    <t>DOXIMITY CL A ORD (NYS)</t>
  </si>
  <si>
    <t>ADVANTEST ORD (TYO) CFD</t>
  </si>
  <si>
    <t>MAPLEBEAR ORD (NMS)</t>
  </si>
  <si>
    <t>ZILLOW GROUP CL C ORD (NMS)</t>
  </si>
  <si>
    <t>ZETA GLOBAL HOLDINGS CL A ORD (NYS)</t>
  </si>
  <si>
    <t>FERRARI ORD (NYS)</t>
  </si>
  <si>
    <t>FERRARI ORD (MIL)</t>
  </si>
  <si>
    <t>DOORDASH CL A ORD (NMS)</t>
  </si>
  <si>
    <t>UBER TECHNOLOGIES INC. (NYS)</t>
  </si>
  <si>
    <t>SPHERE ENTERTAINMENT CL A ORD (NYS)</t>
  </si>
  <si>
    <t>REGAL REXNORD ORD (NYS)</t>
  </si>
  <si>
    <t>SUMITOMO ELEC ORD (TYO) 5802 JP CFD JPY EQSW 20360101</t>
  </si>
  <si>
    <t>APPLIED MATERIAL ORD (NMS)</t>
  </si>
  <si>
    <t>TERADYNE ORD (NMS)</t>
  </si>
  <si>
    <t>HEWLETT PACKARD ENTERPRISE ORD (NYS)</t>
  </si>
  <si>
    <t>AECOM ORD (NYS)</t>
  </si>
  <si>
    <t>DRAFTKINGS CL A ORD (NMS)</t>
  </si>
  <si>
    <t>ROBLOX CL A ORD (NYS)</t>
  </si>
  <si>
    <t>SPOT US 01/21/28 P450 OTC (SPOT 1/21/28 P450 OTC)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</si>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</sst>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12"/>
  <sheetViews>
    <sheetView tabSelected="1" workbookViewId="0">
      <selection activeCell="J15" sqref="J15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90</v>
      </c>
      <c r="C11" s="10">
        <v>10.75290592062041</v>
      </c>
      <c r="D11" s="10">
        <f t="shared" ref="D11:D47" si="0">IF(B11="","",(C11/100))</f>
        <v>0.10752905920620411</v>
      </c>
      <c r="F11" s="11" t="s">
        <v>10</v>
      </c>
      <c r="G11" s="10">
        <v>-5.9934308634348037</v>
      </c>
      <c r="H11" s="12">
        <f t="shared" ref="H11:H42" si="1">IF(F11="","",G11/100)</f>
        <v>-5.9934308634348038E-2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91</v>
      </c>
      <c r="C12" s="10">
        <v>7.4692394833383151</v>
      </c>
      <c r="D12" s="10">
        <f t="shared" si="0"/>
        <v>7.4692394833383149E-2</v>
      </c>
      <c r="F12" s="11" t="s">
        <v>18</v>
      </c>
      <c r="G12" s="10">
        <v>-5.1837847861408672</v>
      </c>
      <c r="H12" s="12">
        <f t="shared" si="1"/>
        <v>-5.1837847861408673E-2</v>
      </c>
      <c r="K12" s="9"/>
      <c r="L12" s="11"/>
      <c r="M12" s="11"/>
      <c r="O12" s="11"/>
      <c r="P12" s="11"/>
      <c r="Q12" s="13"/>
    </row>
    <row r="13" spans="1:17" x14ac:dyDescent="0.2">
      <c r="B13" s="9" t="s">
        <v>92</v>
      </c>
      <c r="C13" s="10">
        <v>5.5324314060717423</v>
      </c>
      <c r="D13" s="10">
        <f t="shared" si="0"/>
        <v>5.5324314060717424E-2</v>
      </c>
      <c r="F13" s="11" t="s">
        <v>19</v>
      </c>
      <c r="G13" s="10">
        <v>-4.4904464480105091</v>
      </c>
      <c r="H13" s="12">
        <f t="shared" si="1"/>
        <v>-4.4904464480105093E-2</v>
      </c>
      <c r="I13" s="1"/>
    </row>
    <row r="14" spans="1:17" x14ac:dyDescent="0.2">
      <c r="B14" s="9" t="s">
        <v>93</v>
      </c>
      <c r="C14" s="10">
        <v>5.4798915119943992</v>
      </c>
      <c r="D14" s="10">
        <f t="shared" si="0"/>
        <v>5.4798915119943989E-2</v>
      </c>
      <c r="F14" s="11" t="s">
        <v>20</v>
      </c>
      <c r="G14" s="10">
        <v>-4.4006869587325159</v>
      </c>
      <c r="H14" s="12">
        <f t="shared" si="1"/>
        <v>-4.4006869587325158E-2</v>
      </c>
      <c r="I14" s="1"/>
    </row>
    <row r="15" spans="1:17" x14ac:dyDescent="0.2">
      <c r="B15" s="9" t="s">
        <v>94</v>
      </c>
      <c r="C15" s="10">
        <v>4.4256917874129238</v>
      </c>
      <c r="D15" s="10">
        <f t="shared" si="0"/>
        <v>4.4256917874129241E-2</v>
      </c>
      <c r="F15" s="11" t="s">
        <v>21</v>
      </c>
      <c r="G15" s="10">
        <v>-4.2768448521035598</v>
      </c>
      <c r="H15" s="12">
        <f t="shared" si="1"/>
        <v>-4.2768448521035597E-2</v>
      </c>
      <c r="I15" s="1"/>
    </row>
    <row r="16" spans="1:17" x14ac:dyDescent="0.2">
      <c r="B16" s="9" t="s">
        <v>95</v>
      </c>
      <c r="C16" s="10">
        <v>4.0114585996489325</v>
      </c>
      <c r="D16" s="10">
        <f t="shared" si="0"/>
        <v>4.0114585996489323E-2</v>
      </c>
      <c r="F16" s="11" t="s">
        <v>22</v>
      </c>
      <c r="G16" s="10">
        <v>-4.2758220209296685</v>
      </c>
      <c r="H16" s="12">
        <f t="shared" si="1"/>
        <v>-4.2758220209296684E-2</v>
      </c>
      <c r="I16" s="1"/>
    </row>
    <row r="17" spans="2:8" x14ac:dyDescent="0.2">
      <c r="B17" s="9" t="s">
        <v>96</v>
      </c>
      <c r="C17" s="10">
        <v>3.9764142686120283</v>
      </c>
      <c r="D17" s="10">
        <f t="shared" si="0"/>
        <v>3.9764142686120281E-2</v>
      </c>
      <c r="F17" s="11" t="s">
        <v>23</v>
      </c>
      <c r="G17" s="10">
        <v>-3.8146942577688012</v>
      </c>
      <c r="H17" s="12">
        <f t="shared" si="1"/>
        <v>-3.8146942577688012E-2</v>
      </c>
    </row>
    <row r="18" spans="2:8" x14ac:dyDescent="0.2">
      <c r="B18" s="9" t="s">
        <v>97</v>
      </c>
      <c r="C18" s="10">
        <v>3.9389470657314019</v>
      </c>
      <c r="D18" s="10">
        <f t="shared" si="0"/>
        <v>3.9389470657314019E-2</v>
      </c>
      <c r="F18" s="11" t="s">
        <v>24</v>
      </c>
      <c r="G18" s="10">
        <v>-3.7592318427414506</v>
      </c>
      <c r="H18" s="12">
        <f t="shared" si="1"/>
        <v>-3.7592318427414506E-2</v>
      </c>
    </row>
    <row r="19" spans="2:8" x14ac:dyDescent="0.2">
      <c r="B19" s="9" t="s">
        <v>98</v>
      </c>
      <c r="C19" s="10">
        <v>3.7697534312823535</v>
      </c>
      <c r="D19" s="10">
        <f t="shared" si="0"/>
        <v>3.7697534312823536E-2</v>
      </c>
      <c r="F19" s="11" t="s">
        <v>25</v>
      </c>
      <c r="G19" s="10">
        <v>-3.6320376874597859</v>
      </c>
      <c r="H19" s="12">
        <f t="shared" si="1"/>
        <v>-3.6320376874597861E-2</v>
      </c>
    </row>
    <row r="20" spans="2:8" x14ac:dyDescent="0.2">
      <c r="B20" s="9" t="s">
        <v>99</v>
      </c>
      <c r="C20" s="10">
        <v>3.7290016734757856</v>
      </c>
      <c r="D20" s="10">
        <f t="shared" si="0"/>
        <v>3.7290016734757854E-2</v>
      </c>
      <c r="F20" s="11" t="s">
        <v>26</v>
      </c>
      <c r="G20" s="10">
        <v>-3.5311836688318596</v>
      </c>
      <c r="H20" s="12">
        <f t="shared" si="1"/>
        <v>-3.5311836688318596E-2</v>
      </c>
    </row>
    <row r="21" spans="2:8" x14ac:dyDescent="0.2">
      <c r="B21" s="9" t="s">
        <v>100</v>
      </c>
      <c r="C21" s="10">
        <v>2.9431557514540136</v>
      </c>
      <c r="D21" s="10">
        <f t="shared" si="0"/>
        <v>2.9431557514540137E-2</v>
      </c>
      <c r="F21" s="11" t="s">
        <v>27</v>
      </c>
      <c r="G21" s="10">
        <v>-3.2721487094228197</v>
      </c>
      <c r="H21" s="12">
        <f t="shared" si="1"/>
        <v>-3.2721487094228195E-2</v>
      </c>
    </row>
    <row r="22" spans="2:8" x14ac:dyDescent="0.2">
      <c r="B22" s="9" t="s">
        <v>101</v>
      </c>
      <c r="C22" s="10">
        <v>2.8545808131970469</v>
      </c>
      <c r="D22" s="10">
        <f t="shared" si="0"/>
        <v>2.8545808131970468E-2</v>
      </c>
      <c r="F22" s="11" t="s">
        <v>28</v>
      </c>
      <c r="G22" s="10">
        <v>-2.7413886334777815</v>
      </c>
      <c r="H22" s="12">
        <f t="shared" si="1"/>
        <v>-2.7413886334777815E-2</v>
      </c>
    </row>
    <row r="23" spans="2:8" x14ac:dyDescent="0.2">
      <c r="B23" s="9" t="s">
        <v>102</v>
      </c>
      <c r="C23" s="10">
        <v>2.7819275358197402</v>
      </c>
      <c r="D23" s="10">
        <f t="shared" si="0"/>
        <v>2.7819275358197403E-2</v>
      </c>
      <c r="F23" s="11" t="s">
        <v>29</v>
      </c>
      <c r="G23" s="10">
        <v>-2.7170502309773621</v>
      </c>
      <c r="H23" s="12">
        <f t="shared" si="1"/>
        <v>-2.7170502309773623E-2</v>
      </c>
    </row>
    <row r="24" spans="2:8" x14ac:dyDescent="0.2">
      <c r="B24" s="9" t="s">
        <v>103</v>
      </c>
      <c r="C24" s="10">
        <v>2.5907317747027272</v>
      </c>
      <c r="D24" s="10">
        <f t="shared" si="0"/>
        <v>2.5907317747027273E-2</v>
      </c>
      <c r="F24" s="11" t="s">
        <v>30</v>
      </c>
      <c r="G24" s="10">
        <v>-2.6765686262803565</v>
      </c>
      <c r="H24" s="12">
        <f t="shared" si="1"/>
        <v>-2.6765686262803564E-2</v>
      </c>
    </row>
    <row r="25" spans="2:8" x14ac:dyDescent="0.2">
      <c r="B25" s="9" t="s">
        <v>104</v>
      </c>
      <c r="C25" s="10">
        <v>2.5707776652134351</v>
      </c>
      <c r="D25" s="10">
        <f t="shared" si="0"/>
        <v>2.5707776652134352E-2</v>
      </c>
      <c r="F25" s="11" t="s">
        <v>31</v>
      </c>
      <c r="G25" s="10">
        <v>-2.4387673018160689</v>
      </c>
      <c r="H25" s="12">
        <f t="shared" si="1"/>
        <v>-2.438767301816069E-2</v>
      </c>
    </row>
    <row r="26" spans="2:8" x14ac:dyDescent="0.2">
      <c r="B26" s="9" t="s">
        <v>105</v>
      </c>
      <c r="C26" s="10">
        <v>2.5144788409927368</v>
      </c>
      <c r="D26" s="10">
        <f t="shared" si="0"/>
        <v>2.5144788409927368E-2</v>
      </c>
      <c r="F26" s="11" t="s">
        <v>32</v>
      </c>
      <c r="G26" s="10">
        <v>-2.4110763049710839</v>
      </c>
      <c r="H26" s="12">
        <f t="shared" si="1"/>
        <v>-2.411076304971084E-2</v>
      </c>
    </row>
    <row r="27" spans="2:8" x14ac:dyDescent="0.2">
      <c r="B27" s="9" t="s">
        <v>106</v>
      </c>
      <c r="C27" s="10">
        <v>2.3721711358365862</v>
      </c>
      <c r="D27" s="10">
        <f t="shared" si="0"/>
        <v>2.3721711358365861E-2</v>
      </c>
      <c r="F27" s="11" t="s">
        <v>33</v>
      </c>
      <c r="G27" s="10">
        <v>-2.40224469153938</v>
      </c>
      <c r="H27" s="12">
        <f t="shared" si="1"/>
        <v>-2.4022446915393802E-2</v>
      </c>
    </row>
    <row r="28" spans="2:8" x14ac:dyDescent="0.2">
      <c r="B28" s="9" t="s">
        <v>107</v>
      </c>
      <c r="C28" s="10">
        <v>2.2786355668412965</v>
      </c>
      <c r="D28" s="10">
        <f t="shared" si="0"/>
        <v>2.2786355668412965E-2</v>
      </c>
      <c r="F28" s="11" t="s">
        <v>34</v>
      </c>
      <c r="G28" s="10">
        <v>-2.3746831600873963</v>
      </c>
      <c r="H28" s="12">
        <f t="shared" si="1"/>
        <v>-2.3746831600873965E-2</v>
      </c>
    </row>
    <row r="29" spans="2:8" x14ac:dyDescent="0.2">
      <c r="B29" s="9" t="s">
        <v>108</v>
      </c>
      <c r="C29" s="10">
        <v>2.1812497213005262</v>
      </c>
      <c r="D29" s="10">
        <f t="shared" si="0"/>
        <v>2.1812497213005263E-2</v>
      </c>
      <c r="F29" s="11" t="s">
        <v>35</v>
      </c>
      <c r="G29" s="10">
        <v>-2.3697468997632218</v>
      </c>
      <c r="H29" s="12">
        <f t="shared" si="1"/>
        <v>-2.3697468997632219E-2</v>
      </c>
    </row>
    <row r="30" spans="2:8" x14ac:dyDescent="0.2">
      <c r="B30" s="9" t="s">
        <v>109</v>
      </c>
      <c r="C30" s="10">
        <v>2.1265592043345598</v>
      </c>
      <c r="D30" s="10">
        <f t="shared" si="0"/>
        <v>2.1265592043345598E-2</v>
      </c>
      <c r="F30" s="11" t="s">
        <v>36</v>
      </c>
      <c r="G30" s="10">
        <v>-2.34329223603106</v>
      </c>
      <c r="H30" s="12">
        <f t="shared" si="1"/>
        <v>-2.3432922360310599E-2</v>
      </c>
    </row>
    <row r="31" spans="2:8" x14ac:dyDescent="0.2">
      <c r="B31" s="9" t="s">
        <v>110</v>
      </c>
      <c r="C31" s="10">
        <v>2.1027171598591958</v>
      </c>
      <c r="D31" s="10">
        <f t="shared" si="0"/>
        <v>2.1027171598591958E-2</v>
      </c>
      <c r="F31" s="11" t="s">
        <v>37</v>
      </c>
      <c r="G31" s="10">
        <v>-2.2876371235668143</v>
      </c>
      <c r="H31" s="12">
        <f t="shared" si="1"/>
        <v>-2.2876371235668144E-2</v>
      </c>
    </row>
    <row r="32" spans="2:8" x14ac:dyDescent="0.2">
      <c r="B32" s="9" t="s">
        <v>111</v>
      </c>
      <c r="C32" s="10">
        <v>2.0498538751452804</v>
      </c>
      <c r="D32" s="10">
        <f t="shared" si="0"/>
        <v>2.0498538751452803E-2</v>
      </c>
      <c r="F32" s="11" t="s">
        <v>38</v>
      </c>
      <c r="G32" s="10">
        <v>-2.2863701634985345</v>
      </c>
      <c r="H32" s="12">
        <f t="shared" si="1"/>
        <v>-2.2863701634985346E-2</v>
      </c>
    </row>
    <row r="33" spans="2:8" x14ac:dyDescent="0.2">
      <c r="B33" s="9" t="s">
        <v>112</v>
      </c>
      <c r="C33" s="10">
        <v>2.0311422378021988</v>
      </c>
      <c r="D33" s="10">
        <f t="shared" si="0"/>
        <v>2.0311422378021988E-2</v>
      </c>
      <c r="F33" s="11" t="s">
        <v>39</v>
      </c>
      <c r="G33" s="10">
        <v>-2.0171062929217198</v>
      </c>
      <c r="H33" s="12">
        <f t="shared" si="1"/>
        <v>-2.01710629292172E-2</v>
      </c>
    </row>
    <row r="34" spans="2:8" x14ac:dyDescent="0.2">
      <c r="B34" s="9" t="s">
        <v>113</v>
      </c>
      <c r="C34" s="10">
        <v>2.0118308168971288</v>
      </c>
      <c r="D34" s="10">
        <f t="shared" si="0"/>
        <v>2.011830816897129E-2</v>
      </c>
      <c r="F34" s="11" t="s">
        <v>40</v>
      </c>
      <c r="G34" s="10">
        <v>-2.0085239924570435</v>
      </c>
      <c r="H34" s="12">
        <f t="shared" si="1"/>
        <v>-2.0085239924570435E-2</v>
      </c>
    </row>
    <row r="35" spans="2:8" x14ac:dyDescent="0.2">
      <c r="B35" s="9" t="s">
        <v>114</v>
      </c>
      <c r="C35" s="10">
        <v>1.9939764614609139</v>
      </c>
      <c r="D35" s="10">
        <f t="shared" si="0"/>
        <v>1.993976461460914E-2</v>
      </c>
      <c r="F35" s="11" t="s">
        <v>41</v>
      </c>
      <c r="G35" s="10">
        <v>-1.8660124031809358</v>
      </c>
      <c r="H35" s="12">
        <f t="shared" si="1"/>
        <v>-1.8660124031809357E-2</v>
      </c>
    </row>
    <row r="36" spans="2:8" x14ac:dyDescent="0.2">
      <c r="B36" s="9" t="s">
        <v>115</v>
      </c>
      <c r="C36" s="10">
        <v>1.9810263751637747</v>
      </c>
      <c r="D36" s="10">
        <f t="shared" si="0"/>
        <v>1.9810263751637747E-2</v>
      </c>
      <c r="F36" s="11" t="s">
        <v>42</v>
      </c>
      <c r="G36" s="10">
        <v>-1.8481858780294125</v>
      </c>
      <c r="H36" s="12">
        <f t="shared" si="1"/>
        <v>-1.8481858780294125E-2</v>
      </c>
    </row>
    <row r="37" spans="2:8" x14ac:dyDescent="0.2">
      <c r="B37" s="9" t="s">
        <v>116</v>
      </c>
      <c r="C37" s="10">
        <v>1.7804097216213104</v>
      </c>
      <c r="D37" s="10">
        <f t="shared" si="0"/>
        <v>1.7804097216213104E-2</v>
      </c>
      <c r="F37" s="11" t="s">
        <v>43</v>
      </c>
      <c r="G37" s="10">
        <v>-1.740215150840926</v>
      </c>
      <c r="H37" s="12">
        <f t="shared" si="1"/>
        <v>-1.740215150840926E-2</v>
      </c>
    </row>
    <row r="38" spans="2:8" x14ac:dyDescent="0.2">
      <c r="B38" s="9" t="s">
        <v>117</v>
      </c>
      <c r="C38" s="10">
        <v>1.7584797301304107</v>
      </c>
      <c r="D38" s="10">
        <f t="shared" si="0"/>
        <v>1.7584797301304106E-2</v>
      </c>
      <c r="F38" s="11" t="s">
        <v>44</v>
      </c>
      <c r="G38" s="10">
        <v>-1.662796755748001</v>
      </c>
      <c r="H38" s="12">
        <f t="shared" si="1"/>
        <v>-1.6627967557480011E-2</v>
      </c>
    </row>
    <row r="39" spans="2:8" x14ac:dyDescent="0.2">
      <c r="B39" s="9" t="s">
        <v>118</v>
      </c>
      <c r="C39" s="10">
        <v>1.7139454766481832</v>
      </c>
      <c r="D39" s="10">
        <f t="shared" si="0"/>
        <v>1.7139454766481831E-2</v>
      </c>
      <c r="F39" s="11" t="s">
        <v>45</v>
      </c>
      <c r="G39" s="10">
        <v>-1.5345054187769702</v>
      </c>
      <c r="H39" s="12">
        <f t="shared" si="1"/>
        <v>-1.5345054187769703E-2</v>
      </c>
    </row>
    <row r="40" spans="2:8" x14ac:dyDescent="0.2">
      <c r="B40" s="9" t="s">
        <v>119</v>
      </c>
      <c r="C40" s="10">
        <v>1.7088300247605672</v>
      </c>
      <c r="D40" s="10">
        <f t="shared" si="0"/>
        <v>1.7088300247605673E-2</v>
      </c>
      <c r="F40" s="11" t="s">
        <v>46</v>
      </c>
      <c r="G40" s="10">
        <v>-1.4991249415563426</v>
      </c>
      <c r="H40" s="12">
        <f t="shared" si="1"/>
        <v>-1.4991249415563426E-2</v>
      </c>
    </row>
    <row r="41" spans="2:8" x14ac:dyDescent="0.2">
      <c r="B41" s="9" t="s">
        <v>120</v>
      </c>
      <c r="C41" s="10">
        <v>1.5899809986203635</v>
      </c>
      <c r="D41" s="10">
        <f t="shared" si="0"/>
        <v>1.5899809986203634E-2</v>
      </c>
      <c r="F41" s="11" t="s">
        <v>47</v>
      </c>
      <c r="G41" s="10">
        <v>-1.4710904316875686</v>
      </c>
      <c r="H41" s="12">
        <f t="shared" si="1"/>
        <v>-1.4710904316875686E-2</v>
      </c>
    </row>
    <row r="42" spans="2:8" x14ac:dyDescent="0.2">
      <c r="B42" s="9" t="s">
        <v>121</v>
      </c>
      <c r="C42" s="10">
        <v>1.4257662892427765</v>
      </c>
      <c r="D42" s="10">
        <f t="shared" si="0"/>
        <v>1.4257662892427764E-2</v>
      </c>
      <c r="F42" s="11" t="s">
        <v>48</v>
      </c>
      <c r="G42" s="10">
        <v>-1.3891977726386431</v>
      </c>
      <c r="H42" s="12">
        <f t="shared" si="1"/>
        <v>-1.389197772638643E-2</v>
      </c>
    </row>
    <row r="43" spans="2:8" x14ac:dyDescent="0.2">
      <c r="B43" s="9" t="s">
        <v>122</v>
      </c>
      <c r="C43" s="10">
        <v>1.4204945648496996</v>
      </c>
      <c r="D43" s="10">
        <f t="shared" si="0"/>
        <v>1.4204945648496996E-2</v>
      </c>
      <c r="F43" s="11" t="s">
        <v>49</v>
      </c>
      <c r="G43" s="10">
        <v>-1.3581861044227097</v>
      </c>
      <c r="H43" s="12">
        <f t="shared" ref="H43:H74" si="2">IF(F43="","",G43/100)</f>
        <v>-1.3581861044227097E-2</v>
      </c>
    </row>
    <row r="44" spans="2:8" x14ac:dyDescent="0.2">
      <c r="B44" s="9" t="s">
        <v>123</v>
      </c>
      <c r="C44" s="10">
        <v>1.4013027868842094</v>
      </c>
      <c r="D44" s="10">
        <f t="shared" si="0"/>
        <v>1.4013027868842095E-2</v>
      </c>
      <c r="F44" s="11" t="s">
        <v>50</v>
      </c>
      <c r="G44" s="10">
        <v>-1.2929764732396047</v>
      </c>
      <c r="H44" s="12">
        <f t="shared" si="2"/>
        <v>-1.2929764732396048E-2</v>
      </c>
    </row>
    <row r="45" spans="2:8" x14ac:dyDescent="0.2">
      <c r="B45" s="9" t="s">
        <v>124</v>
      </c>
      <c r="C45" s="10">
        <v>1.0838954568849919</v>
      </c>
      <c r="D45" s="10">
        <f t="shared" si="0"/>
        <v>1.0838954568849918E-2</v>
      </c>
      <c r="F45" s="11" t="s">
        <v>51</v>
      </c>
      <c r="G45" s="10">
        <v>-1.2784004980554449</v>
      </c>
      <c r="H45" s="12">
        <f t="shared" si="2"/>
        <v>-1.2784004980554448E-2</v>
      </c>
    </row>
    <row r="46" spans="2:8" x14ac:dyDescent="0.2">
      <c r="B46" s="9" t="s">
        <v>125</v>
      </c>
      <c r="C46" s="10">
        <v>0.54126152093270297</v>
      </c>
      <c r="D46" s="10">
        <f t="shared" si="0"/>
        <v>5.4126152093270296E-3</v>
      </c>
      <c r="F46" s="11" t="s">
        <v>52</v>
      </c>
      <c r="G46" s="10">
        <v>-1.2741244566663887</v>
      </c>
      <c r="H46" s="12">
        <f t="shared" si="2"/>
        <v>-1.2741244566663888E-2</v>
      </c>
    </row>
    <row r="47" spans="2:8" x14ac:dyDescent="0.2">
      <c r="B47" s="9" t="s">
        <v>8</v>
      </c>
      <c r="C47" s="10">
        <v>0.51245997294786305</v>
      </c>
      <c r="D47" s="10">
        <f t="shared" si="0"/>
        <v>5.1245997294786308E-3</v>
      </c>
      <c r="F47" s="11" t="s">
        <v>53</v>
      </c>
      <c r="G47" s="10">
        <v>-1.238086147912516</v>
      </c>
      <c r="H47" s="12">
        <f t="shared" si="2"/>
        <v>-1.238086147912516E-2</v>
      </c>
    </row>
    <row r="48" spans="2:8" x14ac:dyDescent="0.2">
      <c r="B48" s="9"/>
      <c r="C48" s="11"/>
      <c r="D48" s="11"/>
      <c r="F48" s="11" t="s">
        <v>54</v>
      </c>
      <c r="G48" s="10">
        <v>-1.232329098824392</v>
      </c>
      <c r="H48" s="12">
        <f t="shared" si="2"/>
        <v>-1.232329098824392E-2</v>
      </c>
    </row>
    <row r="49" spans="4:8" x14ac:dyDescent="0.2">
      <c r="F49" s="11" t="s">
        <v>55</v>
      </c>
      <c r="G49" s="10">
        <v>-1.163752003193627</v>
      </c>
      <c r="H49" s="12">
        <f t="shared" si="2"/>
        <v>-1.163752003193627E-2</v>
      </c>
    </row>
    <row r="50" spans="4:8" x14ac:dyDescent="0.2">
      <c r="F50" s="11" t="s">
        <v>56</v>
      </c>
      <c r="G50" s="10">
        <v>-1.1222439521141796</v>
      </c>
      <c r="H50" s="12">
        <f t="shared" si="2"/>
        <v>-1.1222439521141795E-2</v>
      </c>
    </row>
    <row r="51" spans="4:8" x14ac:dyDescent="0.2">
      <c r="F51" s="11" t="s">
        <v>57</v>
      </c>
      <c r="G51" s="10">
        <v>-1.1188912213466502</v>
      </c>
      <c r="H51" s="12">
        <f t="shared" si="2"/>
        <v>-1.1188912213466502E-2</v>
      </c>
    </row>
    <row r="52" spans="4:8" x14ac:dyDescent="0.2">
      <c r="F52" s="11" t="s">
        <v>58</v>
      </c>
      <c r="G52" s="10">
        <v>-1.0025669067929244</v>
      </c>
      <c r="H52" s="12">
        <f t="shared" si="2"/>
        <v>-1.0025669067929243E-2</v>
      </c>
    </row>
    <row r="53" spans="4:8" x14ac:dyDescent="0.2">
      <c r="D53" s="1"/>
      <c r="F53" s="11" t="s">
        <v>59</v>
      </c>
      <c r="G53" s="10">
        <v>-0.98530667336568545</v>
      </c>
      <c r="H53" s="12">
        <f t="shared" si="2"/>
        <v>-9.8530667336568546E-3</v>
      </c>
    </row>
    <row r="54" spans="4:8" x14ac:dyDescent="0.2">
      <c r="D54" s="1"/>
      <c r="F54" s="11" t="s">
        <v>60</v>
      </c>
      <c r="G54" s="10">
        <v>-0.94970027971638638</v>
      </c>
      <c r="H54" s="12">
        <f t="shared" si="2"/>
        <v>-9.4970027971638636E-3</v>
      </c>
    </row>
    <row r="55" spans="4:8" x14ac:dyDescent="0.2">
      <c r="D55" s="1"/>
      <c r="F55" s="11" t="s">
        <v>61</v>
      </c>
      <c r="G55" s="10">
        <v>-0.94896359570984901</v>
      </c>
      <c r="H55" s="12">
        <f t="shared" si="2"/>
        <v>-9.4896359570984905E-3</v>
      </c>
    </row>
    <row r="56" spans="4:8" x14ac:dyDescent="0.2">
      <c r="D56" s="1"/>
      <c r="F56" s="11" t="s">
        <v>62</v>
      </c>
      <c r="G56" s="10">
        <v>-0.85141844786647047</v>
      </c>
      <c r="H56" s="12">
        <f t="shared" si="2"/>
        <v>-8.5141844786647044E-3</v>
      </c>
    </row>
    <row r="57" spans="4:8" x14ac:dyDescent="0.2">
      <c r="D57" s="1"/>
      <c r="F57" s="11" t="s">
        <v>63</v>
      </c>
      <c r="G57" s="10">
        <v>-0.81507946289955924</v>
      </c>
      <c r="H57" s="12">
        <f t="shared" si="2"/>
        <v>-8.1507946289955929E-3</v>
      </c>
    </row>
    <row r="58" spans="4:8" x14ac:dyDescent="0.2">
      <c r="D58" s="1"/>
      <c r="F58" s="11" t="s">
        <v>64</v>
      </c>
      <c r="G58" s="10">
        <v>-0.79425954506813967</v>
      </c>
      <c r="H58" s="12">
        <f t="shared" si="2"/>
        <v>-7.9425954506813969E-3</v>
      </c>
    </row>
    <row r="59" spans="4:8" x14ac:dyDescent="0.2">
      <c r="D59" s="1"/>
      <c r="F59" s="11" t="s">
        <v>65</v>
      </c>
      <c r="G59" s="10">
        <v>-0.77839123514436381</v>
      </c>
      <c r="H59" s="12">
        <f t="shared" si="2"/>
        <v>-7.7839123514436385E-3</v>
      </c>
    </row>
    <row r="60" spans="4:8" x14ac:dyDescent="0.2">
      <c r="D60" s="1"/>
      <c r="F60" s="11" t="s">
        <v>66</v>
      </c>
      <c r="G60" s="10">
        <v>-0.74874311445534492</v>
      </c>
      <c r="H60" s="12">
        <f t="shared" si="2"/>
        <v>-7.4874311445534492E-3</v>
      </c>
    </row>
    <row r="61" spans="4:8" x14ac:dyDescent="0.2">
      <c r="D61" s="1"/>
      <c r="F61" s="11" t="s">
        <v>67</v>
      </c>
      <c r="G61" s="10">
        <v>-0.72710233964849313</v>
      </c>
      <c r="H61" s="12">
        <f t="shared" si="2"/>
        <v>-7.2710233964849314E-3</v>
      </c>
    </row>
    <row r="62" spans="4:8" x14ac:dyDescent="0.2">
      <c r="D62" s="1"/>
      <c r="F62" s="11" t="s">
        <v>68</v>
      </c>
      <c r="G62" s="10">
        <v>-0.69924954516799831</v>
      </c>
      <c r="H62" s="12">
        <f t="shared" si="2"/>
        <v>-6.992495451679983E-3</v>
      </c>
    </row>
    <row r="63" spans="4:8" x14ac:dyDescent="0.2">
      <c r="D63" s="1"/>
      <c r="F63" s="11" t="s">
        <v>69</v>
      </c>
      <c r="G63" s="10">
        <v>-0.69769432337641968</v>
      </c>
      <c r="H63" s="12">
        <f t="shared" si="2"/>
        <v>-6.9769432337641966E-3</v>
      </c>
    </row>
    <row r="64" spans="4:8" x14ac:dyDescent="0.2">
      <c r="D64" s="1"/>
      <c r="F64" s="11" t="s">
        <v>70</v>
      </c>
      <c r="G64" s="10">
        <v>-0.69166169990066484</v>
      </c>
      <c r="H64" s="12">
        <f t="shared" si="2"/>
        <v>-6.9166169990066487E-3</v>
      </c>
    </row>
    <row r="65" spans="4:8" x14ac:dyDescent="0.2">
      <c r="D65" s="1"/>
      <c r="F65" s="11" t="s">
        <v>71</v>
      </c>
      <c r="G65" s="10">
        <v>-0.6899591413077788</v>
      </c>
      <c r="H65" s="12">
        <f t="shared" si="2"/>
        <v>-6.8995914130777882E-3</v>
      </c>
    </row>
    <row r="66" spans="4:8" x14ac:dyDescent="0.2">
      <c r="D66" s="1"/>
      <c r="F66" s="11" t="s">
        <v>72</v>
      </c>
      <c r="G66" s="10">
        <v>-0.60217103207357514</v>
      </c>
      <c r="H66" s="12">
        <f t="shared" si="2"/>
        <v>-6.0217103207357518E-3</v>
      </c>
    </row>
    <row r="67" spans="4:8" x14ac:dyDescent="0.2">
      <c r="D67" s="1"/>
      <c r="F67" s="11" t="s">
        <v>73</v>
      </c>
      <c r="G67" s="10">
        <v>-0.58918145132830757</v>
      </c>
      <c r="H67" s="12">
        <f t="shared" si="2"/>
        <v>-5.8918145132830753E-3</v>
      </c>
    </row>
    <row r="68" spans="4:8" x14ac:dyDescent="0.2">
      <c r="D68" s="1"/>
      <c r="F68" s="11" t="s">
        <v>74</v>
      </c>
      <c r="G68" s="10">
        <v>-0.58261336771817163</v>
      </c>
      <c r="H68" s="12">
        <f t="shared" si="2"/>
        <v>-5.8261336771817159E-3</v>
      </c>
    </row>
    <row r="69" spans="4:8" x14ac:dyDescent="0.2">
      <c r="D69" s="1"/>
      <c r="F69" s="11" t="s">
        <v>75</v>
      </c>
      <c r="G69" s="10">
        <v>-0.57868438634997299</v>
      </c>
      <c r="H69" s="12">
        <f t="shared" si="2"/>
        <v>-5.7868438634997299E-3</v>
      </c>
    </row>
    <row r="70" spans="4:8" x14ac:dyDescent="0.2">
      <c r="D70" s="1"/>
      <c r="F70" s="11" t="s">
        <v>76</v>
      </c>
      <c r="G70" s="10">
        <v>-0.55286020134673897</v>
      </c>
      <c r="H70" s="12">
        <f t="shared" si="2"/>
        <v>-5.52860201346739E-3</v>
      </c>
    </row>
    <row r="71" spans="4:8" x14ac:dyDescent="0.2">
      <c r="D71" s="1"/>
      <c r="F71" s="11" t="s">
        <v>77</v>
      </c>
      <c r="G71" s="10">
        <v>-0.54892235248586918</v>
      </c>
      <c r="H71" s="12">
        <f t="shared" si="2"/>
        <v>-5.4892235248586918E-3</v>
      </c>
    </row>
    <row r="72" spans="4:8" x14ac:dyDescent="0.2">
      <c r="D72" s="1"/>
      <c r="F72" s="11" t="s">
        <v>78</v>
      </c>
      <c r="G72" s="10">
        <v>-0.54509807574267388</v>
      </c>
      <c r="H72" s="12">
        <f t="shared" si="2"/>
        <v>-5.4509807574267388E-3</v>
      </c>
    </row>
    <row r="73" spans="4:8" x14ac:dyDescent="0.2">
      <c r="D73" s="1"/>
      <c r="F73" s="11" t="s">
        <v>79</v>
      </c>
      <c r="G73" s="10">
        <v>-0.53861150485363163</v>
      </c>
      <c r="H73" s="12">
        <f t="shared" si="2"/>
        <v>-5.3861150485363159E-3</v>
      </c>
    </row>
    <row r="74" spans="4:8" x14ac:dyDescent="0.2">
      <c r="D74" s="1"/>
      <c r="F74" s="11" t="s">
        <v>80</v>
      </c>
      <c r="G74" s="10">
        <v>-0.50531338775814905</v>
      </c>
      <c r="H74" s="12">
        <f t="shared" si="2"/>
        <v>-5.0531338775814906E-3</v>
      </c>
    </row>
    <row r="75" spans="4:8" x14ac:dyDescent="0.2">
      <c r="D75" s="1"/>
      <c r="F75" s="11" t="s">
        <v>81</v>
      </c>
      <c r="G75" s="10">
        <v>-0.48493588959954442</v>
      </c>
      <c r="H75" s="12">
        <f t="shared" ref="H75:H106" si="3">IF(F75="","",G75/100)</f>
        <v>-4.8493588959954443E-3</v>
      </c>
    </row>
    <row r="76" spans="4:8" x14ac:dyDescent="0.2">
      <c r="D76" s="1"/>
      <c r="F76" s="11" t="s">
        <v>82</v>
      </c>
      <c r="G76" s="10">
        <v>-0.44717142107998376</v>
      </c>
      <c r="H76" s="12">
        <f t="shared" si="3"/>
        <v>-4.4717142107998376E-3</v>
      </c>
    </row>
    <row r="77" spans="4:8" x14ac:dyDescent="0.2">
      <c r="D77" s="1"/>
      <c r="F77" s="11" t="s">
        <v>83</v>
      </c>
      <c r="G77" s="10">
        <v>-0.43447780995549073</v>
      </c>
      <c r="H77" s="12">
        <f t="shared" si="3"/>
        <v>-4.3447780995549074E-3</v>
      </c>
    </row>
    <row r="78" spans="4:8" x14ac:dyDescent="0.2">
      <c r="D78" s="1"/>
      <c r="F78" s="11" t="s">
        <v>84</v>
      </c>
      <c r="G78" s="10">
        <v>-0.38811276029405428</v>
      </c>
      <c r="H78" s="12">
        <f t="shared" si="3"/>
        <v>-3.8811276029405428E-3</v>
      </c>
    </row>
    <row r="79" spans="4:8" x14ac:dyDescent="0.2">
      <c r="D79" s="1"/>
      <c r="F79" s="11" t="s">
        <v>85</v>
      </c>
      <c r="G79" s="10">
        <v>-0.3726406908697204</v>
      </c>
      <c r="H79" s="12">
        <f t="shared" si="3"/>
        <v>-3.7264069086972041E-3</v>
      </c>
    </row>
    <row r="80" spans="4:8" x14ac:dyDescent="0.2">
      <c r="D80" s="1"/>
      <c r="F80" s="11" t="s">
        <v>86</v>
      </c>
      <c r="G80" s="10">
        <v>-0.34666303003179116</v>
      </c>
      <c r="H80" s="12">
        <f t="shared" si="3"/>
        <v>-3.4666303003179117E-3</v>
      </c>
    </row>
    <row r="81" spans="4:8" x14ac:dyDescent="0.2">
      <c r="D81" s="1"/>
      <c r="F81" s="11" t="s">
        <v>87</v>
      </c>
      <c r="G81" s="10">
        <v>-0.34602859503690198</v>
      </c>
      <c r="H81" s="12">
        <f t="shared" si="3"/>
        <v>-3.4602859503690196E-3</v>
      </c>
    </row>
    <row r="82" spans="4:8" x14ac:dyDescent="0.2">
      <c r="D82" s="1"/>
      <c r="F82" s="11" t="s">
        <v>88</v>
      </c>
      <c r="G82" s="10">
        <v>-0.26711125262511992</v>
      </c>
      <c r="H82" s="12">
        <f t="shared" si="3"/>
        <v>-2.6711125262511991E-3</v>
      </c>
    </row>
    <row r="83" spans="4:8" x14ac:dyDescent="0.2">
      <c r="D83" s="1"/>
      <c r="F83" s="11" t="s">
        <v>89</v>
      </c>
      <c r="G83" s="10">
        <v>-0.24576392361420543</v>
      </c>
      <c r="H83" s="12">
        <f t="shared" si="3"/>
        <v>-2.4576392361420544E-3</v>
      </c>
    </row>
    <row r="84" spans="4:8" x14ac:dyDescent="0.2">
      <c r="D84" s="1"/>
      <c r="F84" s="11" t="s">
        <v>9</v>
      </c>
      <c r="G84" s="10">
        <v>-0.20520428498169269</v>
      </c>
      <c r="H84" s="12">
        <f t="shared" si="3"/>
        <v>-2.0520428498169269E-3</v>
      </c>
    </row>
    <row r="85" spans="4:8" x14ac:dyDescent="0.2">
      <c r="D85" s="1"/>
      <c r="F85" s="11"/>
      <c r="G85" s="11"/>
      <c r="H85" s="13"/>
    </row>
    <row r="86" spans="4:8" x14ac:dyDescent="0.2">
      <c r="D86" s="1"/>
    </row>
    <row r="87" spans="4:8" x14ac:dyDescent="0.2">
      <c r="D87" s="1"/>
    </row>
    <row r="88" spans="4:8" x14ac:dyDescent="0.2">
      <c r="D88" s="1"/>
      <c r="G88" t="s">
        <v>5</v>
      </c>
    </row>
    <row r="89" spans="4:8" x14ac:dyDescent="0.2">
      <c r="D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13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198</v>
      </c>
      <c r="C11" s="10">
        <v>10.75290592062041</v>
      </c>
      <c r="D11" s="10">
        <f t="shared" ref="D11:D50" si="0">IF(B11="","",(C11/100))</f>
        <v>0.10752905920620411</v>
      </c>
      <c r="F11" s="11" t="s">
        <v>16</v>
      </c>
      <c r="G11" s="10">
        <v>-5.9934308634348037</v>
      </c>
      <c r="H11" s="12">
        <f t="shared" ref="H11:H42" si="1">IF(F11="","",G11/100)</f>
        <v>-5.9934308634348038E-2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199</v>
      </c>
      <c r="C12" s="10">
        <v>7.4692394833383151</v>
      </c>
      <c r="D12" s="10">
        <f t="shared" si="0"/>
        <v>7.4692394833383149E-2</v>
      </c>
      <c r="F12" s="11" t="s">
        <v>17</v>
      </c>
      <c r="G12" s="10">
        <v>-5.1837847861408672</v>
      </c>
      <c r="H12" s="12">
        <f t="shared" si="1"/>
        <v>-5.1837847861408673E-2</v>
      </c>
      <c r="K12" s="9"/>
      <c r="L12" s="11"/>
      <c r="M12" s="11"/>
      <c r="O12" s="11"/>
      <c r="P12" s="11"/>
      <c r="Q12" s="13"/>
    </row>
    <row r="13" spans="1:17" x14ac:dyDescent="0.2">
      <c r="B13" s="9" t="s">
        <v>200</v>
      </c>
      <c r="C13" s="10">
        <v>5.5324314060717423</v>
      </c>
      <c r="D13" s="10">
        <f t="shared" si="0"/>
        <v>5.5324314060717424E-2</v>
      </c>
      <c r="F13" s="11" t="s">
        <v>126</v>
      </c>
      <c r="G13" s="10">
        <v>-4.4904464480105091</v>
      </c>
      <c r="H13" s="12">
        <f t="shared" si="1"/>
        <v>-4.4904464480105093E-2</v>
      </c>
      <c r="I13" s="1"/>
    </row>
    <row r="14" spans="1:17" x14ac:dyDescent="0.2">
      <c r="B14" s="9" t="s">
        <v>201</v>
      </c>
      <c r="C14" s="10">
        <v>5.4798915119943992</v>
      </c>
      <c r="D14" s="10">
        <f t="shared" si="0"/>
        <v>5.4798915119943989E-2</v>
      </c>
      <c r="F14" s="11" t="s">
        <v>127</v>
      </c>
      <c r="G14" s="10">
        <v>-4.4006869587325159</v>
      </c>
      <c r="H14" s="12">
        <f t="shared" si="1"/>
        <v>-4.4006869587325158E-2</v>
      </c>
      <c r="I14" s="1"/>
    </row>
    <row r="15" spans="1:17" x14ac:dyDescent="0.2">
      <c r="B15" s="9" t="s">
        <v>202</v>
      </c>
      <c r="C15" s="10">
        <v>4.4256917874129238</v>
      </c>
      <c r="D15" s="10">
        <f t="shared" si="0"/>
        <v>4.4256917874129241E-2</v>
      </c>
      <c r="F15" s="11" t="s">
        <v>128</v>
      </c>
      <c r="G15" s="10">
        <v>-4.2768448521035598</v>
      </c>
      <c r="H15" s="12">
        <f t="shared" si="1"/>
        <v>-4.2768448521035597E-2</v>
      </c>
      <c r="I15" s="1"/>
    </row>
    <row r="16" spans="1:17" x14ac:dyDescent="0.2">
      <c r="B16" s="9" t="s">
        <v>203</v>
      </c>
      <c r="C16" s="10">
        <v>4.0114585996489325</v>
      </c>
      <c r="D16" s="10">
        <f t="shared" si="0"/>
        <v>4.0114585996489323E-2</v>
      </c>
      <c r="F16" s="11" t="s">
        <v>129</v>
      </c>
      <c r="G16" s="10">
        <v>-4.2758220209296685</v>
      </c>
      <c r="H16" s="12">
        <f t="shared" si="1"/>
        <v>-4.2758220209296684E-2</v>
      </c>
      <c r="I16" s="1"/>
    </row>
    <row r="17" spans="2:8" x14ac:dyDescent="0.2">
      <c r="B17" s="9" t="s">
        <v>204</v>
      </c>
      <c r="C17" s="10">
        <v>4.0026823739406829</v>
      </c>
      <c r="D17" s="10">
        <f t="shared" si="0"/>
        <v>4.002682373940683E-2</v>
      </c>
      <c r="F17" s="11" t="s">
        <v>130</v>
      </c>
      <c r="G17" s="10">
        <v>-3.8146942577688012</v>
      </c>
      <c r="H17" s="12">
        <f t="shared" si="1"/>
        <v>-3.8146942577688012E-2</v>
      </c>
    </row>
    <row r="18" spans="2:8" x14ac:dyDescent="0.2">
      <c r="B18" s="9" t="s">
        <v>205</v>
      </c>
      <c r="C18" s="10">
        <v>3.9764142686120283</v>
      </c>
      <c r="D18" s="10">
        <f t="shared" si="0"/>
        <v>3.9764142686120281E-2</v>
      </c>
      <c r="F18" s="11" t="s">
        <v>131</v>
      </c>
      <c r="G18" s="10">
        <v>-3.7592318427414506</v>
      </c>
      <c r="H18" s="12">
        <f t="shared" si="1"/>
        <v>-3.7592318427414506E-2</v>
      </c>
    </row>
    <row r="19" spans="2:8" x14ac:dyDescent="0.2">
      <c r="B19" s="9" t="s">
        <v>206</v>
      </c>
      <c r="C19" s="10">
        <v>3.9389470657314019</v>
      </c>
      <c r="D19" s="10">
        <f t="shared" si="0"/>
        <v>3.9389470657314019E-2</v>
      </c>
      <c r="F19" s="11" t="s">
        <v>132</v>
      </c>
      <c r="G19" s="10">
        <v>-3.6320376874597859</v>
      </c>
      <c r="H19" s="12">
        <f t="shared" si="1"/>
        <v>-3.6320376874597861E-2</v>
      </c>
    </row>
    <row r="20" spans="2:8" x14ac:dyDescent="0.2">
      <c r="B20" s="9" t="s">
        <v>207</v>
      </c>
      <c r="C20" s="10">
        <v>3.7290016734757856</v>
      </c>
      <c r="D20" s="10">
        <f t="shared" si="0"/>
        <v>3.7290016734757854E-2</v>
      </c>
      <c r="F20" s="11" t="s">
        <v>133</v>
      </c>
      <c r="G20" s="10">
        <v>-3.5311836688318596</v>
      </c>
      <c r="H20" s="12">
        <f t="shared" si="1"/>
        <v>-3.5311836688318596E-2</v>
      </c>
    </row>
    <row r="21" spans="2:8" x14ac:dyDescent="0.2">
      <c r="B21" s="9" t="s">
        <v>208</v>
      </c>
      <c r="C21" s="10">
        <v>2.9431557514540136</v>
      </c>
      <c r="D21" s="10">
        <f t="shared" si="0"/>
        <v>2.9431557514540137E-2</v>
      </c>
      <c r="F21" s="11" t="s">
        <v>134</v>
      </c>
      <c r="G21" s="10">
        <v>-3.2721487094228197</v>
      </c>
      <c r="H21" s="12">
        <f t="shared" si="1"/>
        <v>-3.2721487094228195E-2</v>
      </c>
    </row>
    <row r="22" spans="2:8" x14ac:dyDescent="0.2">
      <c r="B22" s="9" t="s">
        <v>209</v>
      </c>
      <c r="C22" s="10">
        <v>2.7819275358197402</v>
      </c>
      <c r="D22" s="10">
        <f t="shared" si="0"/>
        <v>2.7819275358197403E-2</v>
      </c>
      <c r="F22" s="11" t="s">
        <v>135</v>
      </c>
      <c r="G22" s="10">
        <v>-2.7413886334777815</v>
      </c>
      <c r="H22" s="12">
        <f t="shared" si="1"/>
        <v>-2.7413886334777815E-2</v>
      </c>
    </row>
    <row r="23" spans="2:8" x14ac:dyDescent="0.2">
      <c r="B23" s="9" t="s">
        <v>210</v>
      </c>
      <c r="C23" s="10">
        <v>2.5907317747027272</v>
      </c>
      <c r="D23" s="10">
        <f t="shared" si="0"/>
        <v>2.5907317747027273E-2</v>
      </c>
      <c r="F23" s="11" t="s">
        <v>136</v>
      </c>
      <c r="G23" s="10">
        <v>-2.7170502309773621</v>
      </c>
      <c r="H23" s="12">
        <f t="shared" si="1"/>
        <v>-2.7170502309773623E-2</v>
      </c>
    </row>
    <row r="24" spans="2:8" x14ac:dyDescent="0.2">
      <c r="B24" s="9" t="s">
        <v>211</v>
      </c>
      <c r="C24" s="10">
        <v>2.5707776652134351</v>
      </c>
      <c r="D24" s="10">
        <f t="shared" si="0"/>
        <v>2.5707776652134352E-2</v>
      </c>
      <c r="F24" s="11" t="s">
        <v>137</v>
      </c>
      <c r="G24" s="10">
        <v>-2.6765686262803565</v>
      </c>
      <c r="H24" s="12">
        <f t="shared" si="1"/>
        <v>-2.6765686262803564E-2</v>
      </c>
    </row>
    <row r="25" spans="2:8" x14ac:dyDescent="0.2">
      <c r="B25" s="9" t="s">
        <v>212</v>
      </c>
      <c r="C25" s="10">
        <v>2.5144788409927368</v>
      </c>
      <c r="D25" s="10">
        <f t="shared" si="0"/>
        <v>2.5144788409927368E-2</v>
      </c>
      <c r="F25" s="11" t="s">
        <v>138</v>
      </c>
      <c r="G25" s="10">
        <v>-2.4387673018160689</v>
      </c>
      <c r="H25" s="12">
        <f t="shared" si="1"/>
        <v>-2.438767301816069E-2</v>
      </c>
    </row>
    <row r="26" spans="2:8" x14ac:dyDescent="0.2">
      <c r="B26" s="9" t="s">
        <v>213</v>
      </c>
      <c r="C26" s="10">
        <v>2.3721711358365862</v>
      </c>
      <c r="D26" s="10">
        <f t="shared" si="0"/>
        <v>2.3721711358365861E-2</v>
      </c>
      <c r="F26" s="11" t="s">
        <v>139</v>
      </c>
      <c r="G26" s="10">
        <v>-2.4110763049710839</v>
      </c>
      <c r="H26" s="12">
        <f t="shared" si="1"/>
        <v>-2.411076304971084E-2</v>
      </c>
    </row>
    <row r="27" spans="2:8" x14ac:dyDescent="0.2">
      <c r="B27" s="9" t="s">
        <v>214</v>
      </c>
      <c r="C27" s="10">
        <v>2.2786355668412965</v>
      </c>
      <c r="D27" s="10">
        <f t="shared" si="0"/>
        <v>2.2786355668412965E-2</v>
      </c>
      <c r="F27" s="11" t="s">
        <v>140</v>
      </c>
      <c r="G27" s="10">
        <v>-2.40224469153938</v>
      </c>
      <c r="H27" s="12">
        <f t="shared" si="1"/>
        <v>-2.4022446915393802E-2</v>
      </c>
    </row>
    <row r="28" spans="2:8" x14ac:dyDescent="0.2">
      <c r="B28" s="9" t="s">
        <v>215</v>
      </c>
      <c r="C28" s="10">
        <v>2.1812497213005262</v>
      </c>
      <c r="D28" s="10">
        <f t="shared" si="0"/>
        <v>2.1812497213005263E-2</v>
      </c>
      <c r="F28" s="11" t="s">
        <v>141</v>
      </c>
      <c r="G28" s="10">
        <v>-2.3746831600873963</v>
      </c>
      <c r="H28" s="12">
        <f t="shared" si="1"/>
        <v>-2.3746831600873965E-2</v>
      </c>
    </row>
    <row r="29" spans="2:8" x14ac:dyDescent="0.2">
      <c r="B29" s="9" t="s">
        <v>216</v>
      </c>
      <c r="C29" s="10">
        <v>2.1265592043345598</v>
      </c>
      <c r="D29" s="10">
        <f t="shared" si="0"/>
        <v>2.1265592043345598E-2</v>
      </c>
      <c r="F29" s="11" t="s">
        <v>142</v>
      </c>
      <c r="G29" s="10">
        <v>-2.3697468997632218</v>
      </c>
      <c r="H29" s="12">
        <f t="shared" si="1"/>
        <v>-2.3697468997632219E-2</v>
      </c>
    </row>
    <row r="30" spans="2:8" x14ac:dyDescent="0.2">
      <c r="B30" s="9" t="s">
        <v>217</v>
      </c>
      <c r="C30" s="10">
        <v>2.1027171598591958</v>
      </c>
      <c r="D30" s="10">
        <f t="shared" si="0"/>
        <v>2.1027171598591958E-2</v>
      </c>
      <c r="F30" s="11" t="s">
        <v>143</v>
      </c>
      <c r="G30" s="10">
        <v>-2.34329223603106</v>
      </c>
      <c r="H30" s="12">
        <f t="shared" si="1"/>
        <v>-2.3432922360310599E-2</v>
      </c>
    </row>
    <row r="31" spans="2:8" x14ac:dyDescent="0.2">
      <c r="B31" s="9" t="s">
        <v>218</v>
      </c>
      <c r="C31" s="10">
        <v>2.0498538751452804</v>
      </c>
      <c r="D31" s="10">
        <f t="shared" si="0"/>
        <v>2.0498538751452803E-2</v>
      </c>
      <c r="F31" s="11" t="s">
        <v>144</v>
      </c>
      <c r="G31" s="10">
        <v>-2.2876371235668143</v>
      </c>
      <c r="H31" s="12">
        <f t="shared" si="1"/>
        <v>-2.2876371235668144E-2</v>
      </c>
    </row>
    <row r="32" spans="2:8" x14ac:dyDescent="0.2">
      <c r="B32" s="9" t="s">
        <v>219</v>
      </c>
      <c r="C32" s="10">
        <v>2.0311422378021988</v>
      </c>
      <c r="D32" s="10">
        <f t="shared" si="0"/>
        <v>2.0311422378021988E-2</v>
      </c>
      <c r="F32" s="11" t="s">
        <v>145</v>
      </c>
      <c r="G32" s="10">
        <v>-2.2863701634985345</v>
      </c>
      <c r="H32" s="12">
        <f t="shared" si="1"/>
        <v>-2.2863701634985346E-2</v>
      </c>
    </row>
    <row r="33" spans="2:8" x14ac:dyDescent="0.2">
      <c r="B33" s="9" t="s">
        <v>220</v>
      </c>
      <c r="C33" s="10">
        <v>2.0118308168971288</v>
      </c>
      <c r="D33" s="10">
        <f t="shared" si="0"/>
        <v>2.011830816897129E-2</v>
      </c>
      <c r="F33" s="11" t="s">
        <v>146</v>
      </c>
      <c r="G33" s="10">
        <v>-2.0171062929217198</v>
      </c>
      <c r="H33" s="12">
        <f t="shared" si="1"/>
        <v>-2.01710629292172E-2</v>
      </c>
    </row>
    <row r="34" spans="2:8" x14ac:dyDescent="0.2">
      <c r="B34" s="9" t="s">
        <v>221</v>
      </c>
      <c r="C34" s="10">
        <v>1.9939764614609139</v>
      </c>
      <c r="D34" s="10">
        <f t="shared" si="0"/>
        <v>1.993976461460914E-2</v>
      </c>
      <c r="F34" s="11" t="s">
        <v>147</v>
      </c>
      <c r="G34" s="10">
        <v>-2.0085239924570435</v>
      </c>
      <c r="H34" s="12">
        <f t="shared" si="1"/>
        <v>-2.0085239924570435E-2</v>
      </c>
    </row>
    <row r="35" spans="2:8" x14ac:dyDescent="0.2">
      <c r="B35" s="9" t="s">
        <v>222</v>
      </c>
      <c r="C35" s="10">
        <v>1.9563549642078071</v>
      </c>
      <c r="D35" s="10">
        <f t="shared" si="0"/>
        <v>1.9563549642078071E-2</v>
      </c>
      <c r="F35" s="11" t="s">
        <v>148</v>
      </c>
      <c r="G35" s="10">
        <v>-1.8660124031809358</v>
      </c>
      <c r="H35" s="12">
        <f t="shared" si="1"/>
        <v>-1.8660124031809357E-2</v>
      </c>
    </row>
    <row r="36" spans="2:8" x14ac:dyDescent="0.2">
      <c r="B36" s="9" t="s">
        <v>223</v>
      </c>
      <c r="C36" s="10">
        <v>1.8133984670745464</v>
      </c>
      <c r="D36" s="10">
        <f t="shared" si="0"/>
        <v>1.8133984670745465E-2</v>
      </c>
      <c r="F36" s="11" t="s">
        <v>149</v>
      </c>
      <c r="G36" s="10">
        <v>-1.8481858780294125</v>
      </c>
      <c r="H36" s="12">
        <f t="shared" si="1"/>
        <v>-1.8481858780294125E-2</v>
      </c>
    </row>
    <row r="37" spans="2:8" x14ac:dyDescent="0.2">
      <c r="B37" s="9" t="s">
        <v>224</v>
      </c>
      <c r="C37" s="10">
        <v>1.7991699255396374</v>
      </c>
      <c r="D37" s="10">
        <f t="shared" si="0"/>
        <v>1.7991699255396374E-2</v>
      </c>
      <c r="F37" s="11" t="s">
        <v>150</v>
      </c>
      <c r="G37" s="10">
        <v>-1.740215150840926</v>
      </c>
      <c r="H37" s="12">
        <f t="shared" si="1"/>
        <v>-1.740215150840926E-2</v>
      </c>
    </row>
    <row r="38" spans="2:8" x14ac:dyDescent="0.2">
      <c r="B38" s="9" t="s">
        <v>225</v>
      </c>
      <c r="C38" s="10">
        <v>1.7804097216213104</v>
      </c>
      <c r="D38" s="10">
        <f t="shared" si="0"/>
        <v>1.7804097216213104E-2</v>
      </c>
      <c r="F38" s="11" t="s">
        <v>151</v>
      </c>
      <c r="G38" s="10">
        <v>-1.6715201857691149</v>
      </c>
      <c r="H38" s="12">
        <f t="shared" si="1"/>
        <v>-1.671520185769115E-2</v>
      </c>
    </row>
    <row r="39" spans="2:8" x14ac:dyDescent="0.2">
      <c r="B39" s="9" t="s">
        <v>226</v>
      </c>
      <c r="C39" s="10">
        <v>1.7584797301304107</v>
      </c>
      <c r="D39" s="10">
        <f t="shared" si="0"/>
        <v>1.7584797301304106E-2</v>
      </c>
      <c r="F39" s="11" t="s">
        <v>152</v>
      </c>
      <c r="G39" s="10">
        <v>-1.662796755748001</v>
      </c>
      <c r="H39" s="12">
        <f t="shared" si="1"/>
        <v>-1.6627967557480011E-2</v>
      </c>
    </row>
    <row r="40" spans="2:8" x14ac:dyDescent="0.2">
      <c r="B40" s="9" t="s">
        <v>227</v>
      </c>
      <c r="C40" s="10">
        <v>1.7139454766481832</v>
      </c>
      <c r="D40" s="10">
        <f t="shared" si="0"/>
        <v>1.7139454766481831E-2</v>
      </c>
      <c r="F40" s="11" t="s">
        <v>153</v>
      </c>
      <c r="G40" s="10">
        <v>-1.5345054187769702</v>
      </c>
      <c r="H40" s="12">
        <f t="shared" si="1"/>
        <v>-1.5345054187769703E-2</v>
      </c>
    </row>
    <row r="41" spans="2:8" x14ac:dyDescent="0.2">
      <c r="B41" s="9" t="s">
        <v>228</v>
      </c>
      <c r="C41" s="10">
        <v>1.7088300247605672</v>
      </c>
      <c r="D41" s="10">
        <f t="shared" si="0"/>
        <v>1.7088300247605673E-2</v>
      </c>
      <c r="F41" s="11" t="s">
        <v>154</v>
      </c>
      <c r="G41" s="10">
        <v>-1.4991249415563426</v>
      </c>
      <c r="H41" s="12">
        <f t="shared" si="1"/>
        <v>-1.4991249415563426E-2</v>
      </c>
    </row>
    <row r="42" spans="2:8" x14ac:dyDescent="0.2">
      <c r="B42" s="9" t="s">
        <v>229</v>
      </c>
      <c r="C42" s="10">
        <v>1.5899809986203635</v>
      </c>
      <c r="D42" s="10">
        <f t="shared" si="0"/>
        <v>1.5899809986203634E-2</v>
      </c>
      <c r="F42" s="11" t="s">
        <v>155</v>
      </c>
      <c r="G42" s="10">
        <v>-1.4710904316875686</v>
      </c>
      <c r="H42" s="12">
        <f t="shared" si="1"/>
        <v>-1.4710904316875686E-2</v>
      </c>
    </row>
    <row r="43" spans="2:8" x14ac:dyDescent="0.2">
      <c r="B43" s="9" t="s">
        <v>230</v>
      </c>
      <c r="C43" s="10">
        <v>1.4257662892427765</v>
      </c>
      <c r="D43" s="10">
        <f t="shared" si="0"/>
        <v>1.4257662892427764E-2</v>
      </c>
      <c r="F43" s="11" t="s">
        <v>156</v>
      </c>
      <c r="G43" s="10">
        <v>-1.3891977726386431</v>
      </c>
      <c r="H43" s="12">
        <f t="shared" ref="H43:H74" si="2">IF(F43="","",G43/100)</f>
        <v>-1.389197772638643E-2</v>
      </c>
    </row>
    <row r="44" spans="2:8" x14ac:dyDescent="0.2">
      <c r="B44" s="9" t="s">
        <v>231</v>
      </c>
      <c r="C44" s="10">
        <v>1.4204945648496996</v>
      </c>
      <c r="D44" s="10">
        <f t="shared" si="0"/>
        <v>1.4204945648496996E-2</v>
      </c>
      <c r="F44" s="11" t="s">
        <v>157</v>
      </c>
      <c r="G44" s="10">
        <v>-1.3581861044227097</v>
      </c>
      <c r="H44" s="12">
        <f t="shared" si="2"/>
        <v>-1.3581861044227097E-2</v>
      </c>
    </row>
    <row r="45" spans="2:8" x14ac:dyDescent="0.2">
      <c r="B45" s="9" t="s">
        <v>232</v>
      </c>
      <c r="C45" s="10">
        <v>1.4013027868842094</v>
      </c>
      <c r="D45" s="10">
        <f t="shared" si="0"/>
        <v>1.4013027868842095E-2</v>
      </c>
      <c r="F45" s="11" t="s">
        <v>158</v>
      </c>
      <c r="G45" s="10">
        <v>-1.2929764732396047</v>
      </c>
      <c r="H45" s="12">
        <f t="shared" si="2"/>
        <v>-1.2929764732396048E-2</v>
      </c>
    </row>
    <row r="46" spans="2:8" x14ac:dyDescent="0.2">
      <c r="B46" s="9" t="s">
        <v>233</v>
      </c>
      <c r="C46" s="10">
        <v>1.0838954568849919</v>
      </c>
      <c r="D46" s="10">
        <f t="shared" si="0"/>
        <v>1.0838954568849918E-2</v>
      </c>
      <c r="F46" s="11" t="s">
        <v>159</v>
      </c>
      <c r="G46" s="10">
        <v>-1.2784004980554449</v>
      </c>
      <c r="H46" s="12">
        <f t="shared" si="2"/>
        <v>-1.2784004980554448E-2</v>
      </c>
    </row>
    <row r="47" spans="2:8" x14ac:dyDescent="0.2">
      <c r="B47" s="9" t="s">
        <v>234</v>
      </c>
      <c r="C47" s="10">
        <v>0.54126152093270297</v>
      </c>
      <c r="D47" s="10">
        <f t="shared" si="0"/>
        <v>5.4126152093270296E-3</v>
      </c>
      <c r="F47" s="11" t="s">
        <v>160</v>
      </c>
      <c r="G47" s="10">
        <v>-1.2741244566663887</v>
      </c>
      <c r="H47" s="12">
        <f t="shared" si="2"/>
        <v>-1.2741244566663888E-2</v>
      </c>
    </row>
    <row r="48" spans="2:8" x14ac:dyDescent="0.2">
      <c r="B48" s="9" t="s">
        <v>235</v>
      </c>
      <c r="C48" s="10">
        <v>0.52341862502547887</v>
      </c>
      <c r="D48" s="10">
        <f t="shared" si="0"/>
        <v>5.2341862502547883E-3</v>
      </c>
      <c r="F48" s="11" t="s">
        <v>161</v>
      </c>
      <c r="G48" s="10">
        <v>-1.238086147912516</v>
      </c>
      <c r="H48" s="12">
        <f t="shared" si="2"/>
        <v>-1.238086147912516E-2</v>
      </c>
    </row>
    <row r="49" spans="2:8" x14ac:dyDescent="0.2">
      <c r="B49" s="9" t="s">
        <v>236</v>
      </c>
      <c r="C49" s="10">
        <v>0.51245997294786305</v>
      </c>
      <c r="D49" s="10">
        <f t="shared" si="0"/>
        <v>5.1245997294786308E-3</v>
      </c>
      <c r="F49" s="11" t="s">
        <v>162</v>
      </c>
      <c r="G49" s="10">
        <v>-1.232329098824392</v>
      </c>
      <c r="H49" s="12">
        <f t="shared" si="2"/>
        <v>-1.232329098824392E-2</v>
      </c>
    </row>
    <row r="50" spans="2:8" x14ac:dyDescent="0.2">
      <c r="B50" s="9" t="s">
        <v>13</v>
      </c>
      <c r="C50" s="10">
        <v>0.18185644962413716</v>
      </c>
      <c r="D50" s="10">
        <f t="shared" si="0"/>
        <v>1.8185644962413717E-3</v>
      </c>
      <c r="F50" s="11" t="s">
        <v>163</v>
      </c>
      <c r="G50" s="10">
        <v>-1.163752003193627</v>
      </c>
      <c r="H50" s="12">
        <f t="shared" si="2"/>
        <v>-1.163752003193627E-2</v>
      </c>
    </row>
    <row r="51" spans="2:8" x14ac:dyDescent="0.2">
      <c r="B51" s="9"/>
      <c r="C51" s="11"/>
      <c r="D51" s="11"/>
      <c r="F51" s="11" t="s">
        <v>164</v>
      </c>
      <c r="G51" s="10">
        <v>-1.1222439521141796</v>
      </c>
      <c r="H51" s="12">
        <f t="shared" si="2"/>
        <v>-1.1222439521141795E-2</v>
      </c>
    </row>
    <row r="52" spans="2:8" x14ac:dyDescent="0.2">
      <c r="F52" s="11" t="s">
        <v>165</v>
      </c>
      <c r="G52" s="10">
        <v>-1.1188912213466502</v>
      </c>
      <c r="H52" s="12">
        <f t="shared" si="2"/>
        <v>-1.1188912213466502E-2</v>
      </c>
    </row>
    <row r="53" spans="2:8" x14ac:dyDescent="0.2">
      <c r="F53" s="11" t="s">
        <v>166</v>
      </c>
      <c r="G53" s="10">
        <v>-1.0025669067929244</v>
      </c>
      <c r="H53" s="12">
        <f t="shared" si="2"/>
        <v>-1.0025669067929243E-2</v>
      </c>
    </row>
    <row r="54" spans="2:8" x14ac:dyDescent="0.2">
      <c r="F54" s="11" t="s">
        <v>167</v>
      </c>
      <c r="G54" s="10">
        <v>-0.98530667336568545</v>
      </c>
      <c r="H54" s="12">
        <f t="shared" si="2"/>
        <v>-9.8530667336568546E-3</v>
      </c>
    </row>
    <row r="55" spans="2:8" x14ac:dyDescent="0.2">
      <c r="F55" s="11" t="s">
        <v>168</v>
      </c>
      <c r="G55" s="10">
        <v>-0.94970027971638638</v>
      </c>
      <c r="H55" s="12">
        <f t="shared" si="2"/>
        <v>-9.4970027971638636E-3</v>
      </c>
    </row>
    <row r="56" spans="2:8" x14ac:dyDescent="0.2">
      <c r="D56" s="1"/>
      <c r="F56" s="11" t="s">
        <v>169</v>
      </c>
      <c r="G56" s="10">
        <v>-0.94896359570984901</v>
      </c>
      <c r="H56" s="12">
        <f t="shared" si="2"/>
        <v>-9.4896359570984905E-3</v>
      </c>
    </row>
    <row r="57" spans="2:8" x14ac:dyDescent="0.2">
      <c r="D57" s="1"/>
      <c r="F57" s="11" t="s">
        <v>170</v>
      </c>
      <c r="G57" s="10">
        <v>-0.85141844786647047</v>
      </c>
      <c r="H57" s="12">
        <f t="shared" si="2"/>
        <v>-8.5141844786647044E-3</v>
      </c>
    </row>
    <row r="58" spans="2:8" x14ac:dyDescent="0.2">
      <c r="D58" s="1"/>
      <c r="F58" s="11" t="s">
        <v>171</v>
      </c>
      <c r="G58" s="10">
        <v>-0.81507946289955924</v>
      </c>
      <c r="H58" s="12">
        <f t="shared" si="2"/>
        <v>-8.1507946289955929E-3</v>
      </c>
    </row>
    <row r="59" spans="2:8" x14ac:dyDescent="0.2">
      <c r="D59" s="1"/>
      <c r="F59" s="11" t="s">
        <v>172</v>
      </c>
      <c r="G59" s="10">
        <v>-0.79425954506813967</v>
      </c>
      <c r="H59" s="12">
        <f t="shared" si="2"/>
        <v>-7.9425954506813969E-3</v>
      </c>
    </row>
    <row r="60" spans="2:8" x14ac:dyDescent="0.2">
      <c r="D60" s="1"/>
      <c r="F60" s="11" t="s">
        <v>173</v>
      </c>
      <c r="G60" s="10">
        <v>-0.77839123514436381</v>
      </c>
      <c r="H60" s="12">
        <f t="shared" si="2"/>
        <v>-7.7839123514436385E-3</v>
      </c>
    </row>
    <row r="61" spans="2:8" x14ac:dyDescent="0.2">
      <c r="D61" s="1"/>
      <c r="F61" s="11" t="s">
        <v>174</v>
      </c>
      <c r="G61" s="10">
        <v>-0.74874311445534492</v>
      </c>
      <c r="H61" s="12">
        <f t="shared" si="2"/>
        <v>-7.4874311445534492E-3</v>
      </c>
    </row>
    <row r="62" spans="2:8" x14ac:dyDescent="0.2">
      <c r="D62" s="1"/>
      <c r="F62" s="11" t="s">
        <v>175</v>
      </c>
      <c r="G62" s="10">
        <v>-0.72710233964849313</v>
      </c>
      <c r="H62" s="12">
        <f t="shared" si="2"/>
        <v>-7.2710233964849314E-3</v>
      </c>
    </row>
    <row r="63" spans="2:8" x14ac:dyDescent="0.2">
      <c r="D63" s="1"/>
      <c r="F63" s="11" t="s">
        <v>176</v>
      </c>
      <c r="G63" s="10">
        <v>-0.69924954516799831</v>
      </c>
      <c r="H63" s="12">
        <f t="shared" si="2"/>
        <v>-6.992495451679983E-3</v>
      </c>
    </row>
    <row r="64" spans="2:8" x14ac:dyDescent="0.2">
      <c r="D64" s="1"/>
      <c r="F64" s="11" t="s">
        <v>177</v>
      </c>
      <c r="G64" s="10">
        <v>-0.69769432337641968</v>
      </c>
      <c r="H64" s="12">
        <f t="shared" si="2"/>
        <v>-6.9769432337641966E-3</v>
      </c>
    </row>
    <row r="65" spans="4:8" x14ac:dyDescent="0.2">
      <c r="D65" s="1"/>
      <c r="F65" s="11" t="s">
        <v>178</v>
      </c>
      <c r="G65" s="10">
        <v>-0.69166169990066484</v>
      </c>
      <c r="H65" s="12">
        <f t="shared" si="2"/>
        <v>-6.9166169990066487E-3</v>
      </c>
    </row>
    <row r="66" spans="4:8" x14ac:dyDescent="0.2">
      <c r="D66" s="1"/>
      <c r="F66" s="11" t="s">
        <v>179</v>
      </c>
      <c r="G66" s="10">
        <v>-0.6899591413077788</v>
      </c>
      <c r="H66" s="12">
        <f t="shared" si="2"/>
        <v>-6.8995914130777882E-3</v>
      </c>
    </row>
    <row r="67" spans="4:8" x14ac:dyDescent="0.2">
      <c r="D67" s="1"/>
      <c r="F67" s="11" t="s">
        <v>180</v>
      </c>
      <c r="G67" s="10">
        <v>-0.60217103207357514</v>
      </c>
      <c r="H67" s="12">
        <f t="shared" si="2"/>
        <v>-6.0217103207357518E-3</v>
      </c>
    </row>
    <row r="68" spans="4:8" x14ac:dyDescent="0.2">
      <c r="D68" s="1"/>
      <c r="F68" s="11" t="s">
        <v>181</v>
      </c>
      <c r="G68" s="10">
        <v>-0.58918145132830757</v>
      </c>
      <c r="H68" s="12">
        <f t="shared" si="2"/>
        <v>-5.8918145132830753E-3</v>
      </c>
    </row>
    <row r="69" spans="4:8" x14ac:dyDescent="0.2">
      <c r="D69" s="1"/>
      <c r="F69" s="11" t="s">
        <v>182</v>
      </c>
      <c r="G69" s="10">
        <v>-0.58261336771817163</v>
      </c>
      <c r="H69" s="12">
        <f t="shared" si="2"/>
        <v>-5.8261336771817159E-3</v>
      </c>
    </row>
    <row r="70" spans="4:8" x14ac:dyDescent="0.2">
      <c r="D70" s="1"/>
      <c r="F70" s="11" t="s">
        <v>183</v>
      </c>
      <c r="G70" s="10">
        <v>-0.57868438634997299</v>
      </c>
      <c r="H70" s="12">
        <f t="shared" si="2"/>
        <v>-5.7868438634997299E-3</v>
      </c>
    </row>
    <row r="71" spans="4:8" x14ac:dyDescent="0.2">
      <c r="D71" s="1"/>
      <c r="F71" s="11" t="s">
        <v>184</v>
      </c>
      <c r="G71" s="10">
        <v>-0.55286020134673897</v>
      </c>
      <c r="H71" s="12">
        <f t="shared" si="2"/>
        <v>-5.52860201346739E-3</v>
      </c>
    </row>
    <row r="72" spans="4:8" x14ac:dyDescent="0.2">
      <c r="D72" s="1"/>
      <c r="F72" s="11" t="s">
        <v>185</v>
      </c>
      <c r="G72" s="10">
        <v>-0.54892235248586918</v>
      </c>
      <c r="H72" s="12">
        <f t="shared" si="2"/>
        <v>-5.4892235248586918E-3</v>
      </c>
    </row>
    <row r="73" spans="4:8" x14ac:dyDescent="0.2">
      <c r="D73" s="1"/>
      <c r="F73" s="11" t="s">
        <v>186</v>
      </c>
      <c r="G73" s="10">
        <v>-0.54509807574267388</v>
      </c>
      <c r="H73" s="12">
        <f t="shared" si="2"/>
        <v>-5.4509807574267388E-3</v>
      </c>
    </row>
    <row r="74" spans="4:8" x14ac:dyDescent="0.2">
      <c r="D74" s="1"/>
      <c r="F74" s="11" t="s">
        <v>187</v>
      </c>
      <c r="G74" s="10">
        <v>-0.53861150485363163</v>
      </c>
      <c r="H74" s="12">
        <f t="shared" si="2"/>
        <v>-5.3861150485363159E-3</v>
      </c>
    </row>
    <row r="75" spans="4:8" x14ac:dyDescent="0.2">
      <c r="D75" s="1"/>
      <c r="F75" s="11" t="s">
        <v>188</v>
      </c>
      <c r="G75" s="10">
        <v>-0.50531338775814905</v>
      </c>
      <c r="H75" s="12">
        <f t="shared" ref="H75:H106" si="3">IF(F75="","",G75/100)</f>
        <v>-5.0531338775814906E-3</v>
      </c>
    </row>
    <row r="76" spans="4:8" x14ac:dyDescent="0.2">
      <c r="D76" s="1"/>
      <c r="F76" s="11" t="s">
        <v>189</v>
      </c>
      <c r="G76" s="10">
        <v>-0.48493588959954442</v>
      </c>
      <c r="H76" s="12">
        <f t="shared" si="3"/>
        <v>-4.8493588959954443E-3</v>
      </c>
    </row>
    <row r="77" spans="4:8" x14ac:dyDescent="0.2">
      <c r="D77" s="1"/>
      <c r="F77" s="11" t="s">
        <v>190</v>
      </c>
      <c r="G77" s="10">
        <v>-0.44717142107998376</v>
      </c>
      <c r="H77" s="12">
        <f t="shared" si="3"/>
        <v>-4.4717142107998376E-3</v>
      </c>
    </row>
    <row r="78" spans="4:8" x14ac:dyDescent="0.2">
      <c r="D78" s="1"/>
      <c r="F78" s="11" t="s">
        <v>191</v>
      </c>
      <c r="G78" s="10">
        <v>-0.43447780995549073</v>
      </c>
      <c r="H78" s="12">
        <f t="shared" si="3"/>
        <v>-4.3447780995549074E-3</v>
      </c>
    </row>
    <row r="79" spans="4:8" x14ac:dyDescent="0.2">
      <c r="D79" s="1"/>
      <c r="F79" s="11" t="s">
        <v>192</v>
      </c>
      <c r="G79" s="10">
        <v>-0.38811276029405428</v>
      </c>
      <c r="H79" s="12">
        <f t="shared" si="3"/>
        <v>-3.8811276029405428E-3</v>
      </c>
    </row>
    <row r="80" spans="4:8" x14ac:dyDescent="0.2">
      <c r="D80" s="1"/>
      <c r="F80" s="11" t="s">
        <v>193</v>
      </c>
      <c r="G80" s="10">
        <v>-0.3726406908697204</v>
      </c>
      <c r="H80" s="12">
        <f t="shared" si="3"/>
        <v>-3.7264069086972041E-3</v>
      </c>
    </row>
    <row r="81" spans="4:8" x14ac:dyDescent="0.2">
      <c r="D81" s="1"/>
      <c r="F81" s="11" t="s">
        <v>194</v>
      </c>
      <c r="G81" s="10">
        <v>-0.34666303003179116</v>
      </c>
      <c r="H81" s="12">
        <f t="shared" si="3"/>
        <v>-3.4666303003179117E-3</v>
      </c>
    </row>
    <row r="82" spans="4:8" x14ac:dyDescent="0.2">
      <c r="D82" s="1"/>
      <c r="F82" s="11" t="s">
        <v>195</v>
      </c>
      <c r="G82" s="10">
        <v>-0.34602859503690198</v>
      </c>
      <c r="H82" s="12">
        <f t="shared" si="3"/>
        <v>-3.4602859503690196E-3</v>
      </c>
    </row>
    <row r="83" spans="4:8" x14ac:dyDescent="0.2">
      <c r="D83" s="1"/>
      <c r="F83" s="11" t="s">
        <v>196</v>
      </c>
      <c r="G83" s="10">
        <v>-0.26711125262511992</v>
      </c>
      <c r="H83" s="12">
        <f t="shared" si="3"/>
        <v>-2.6711125262511991E-3</v>
      </c>
    </row>
    <row r="84" spans="4:8" x14ac:dyDescent="0.2">
      <c r="D84" s="1"/>
      <c r="F84" s="11" t="s">
        <v>197</v>
      </c>
      <c r="G84" s="10">
        <v>-0.24576392361420543</v>
      </c>
      <c r="H84" s="12">
        <f t="shared" si="3"/>
        <v>-2.4576392361420544E-3</v>
      </c>
    </row>
    <row r="85" spans="4:8" x14ac:dyDescent="0.2">
      <c r="D85" s="1"/>
      <c r="F85" s="11" t="s">
        <v>14</v>
      </c>
      <c r="G85" s="10">
        <v>-0.20520428498169269</v>
      </c>
      <c r="H85" s="12">
        <f t="shared" si="3"/>
        <v>-2.0520428498169269E-3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2026-10-22T13:01:34Z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{"begin":"10/21/2026", "end":"10/21/2026", "periodicity":"Weekday"}</vt:lpwstr>
  </property>
  <property fmtid="{D5CDD505-2E9C-101B-9397-08002B2CF9AE}" pid="10" name="filterspec">
    <vt:lpwstr/>
  </property>
  <property fmtid="{D5CDD505-2E9C-101B-9397-08002B2CF9AE}" pid="11" name="identifier">
    <vt:lpwstr>80cdc771</vt:lpwstr>
  </property>
  <property fmtid="{D5CDD505-2E9C-101B-9397-08002B2CF9AE}" pid="12" name="beaconPortfolio">
    <vt:lpwstr>LKP_MASTER__PORT_20261021233410</vt:lpwstr>
  </property>
</Properties>
</file>