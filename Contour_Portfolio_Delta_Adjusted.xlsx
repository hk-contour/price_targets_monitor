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7C15AEC2-F406-1446-9754-79E95F1F8E02}" xr6:coauthVersionLast="47" xr6:coauthVersionMax="47" xr10:uidLastSave="{00000000-0000-0000-0000-000000000000}"/>
  <bookViews>
    <workbookView xWindow="0" yWindow="60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D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<sst xmlns="http://schemas.openxmlformats.org/spreadsheetml/2006/main" count="271" uniqueCount="240">
  <si>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</si>
  <si>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</si>
  <si>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</si>
  <si>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</si>
  <si>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</si>
  <si>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</si>
  <si>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</si>
  <si>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</si>
  <si>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LION</t>
  </si>
  <si>
    <t>AAOI</t>
  </si>
  <si>
    <t>FICO</t>
  </si>
  <si>
    <t/>
  </si>
  <si>
    <t>Manticore Master Fund</t>
  </si>
  <si>
    <t>DASH US 01/15/27 P150 OTC (DASH 1/15/27 P150 OTC)</t>
  </si>
  <si>
    <t>APPLIED OPTOELECTRONICS ORD (NMS)</t>
  </si>
  <si>
    <t>Instrument</t>
  </si>
  <si>
    <t>FAIR ISAAC ORD (NYS)</t>
  </si>
  <si>
    <t>LAMAR ADVERTISING CL A REIT (NMS)</t>
  </si>
  <si>
    <t>LAMR</t>
  </si>
  <si>
    <t>CTAS</t>
  </si>
  <si>
    <t>CSU</t>
  </si>
  <si>
    <t>ADSK</t>
  </si>
  <si>
    <t>7751</t>
  </si>
  <si>
    <t>HQY</t>
  </si>
  <si>
    <t>MANH</t>
  </si>
  <si>
    <t>PUBP</t>
  </si>
  <si>
    <t>6098</t>
  </si>
  <si>
    <t>ARMK</t>
  </si>
  <si>
    <t>VRSK</t>
  </si>
  <si>
    <t>AAPL</t>
  </si>
  <si>
    <t>GRMN</t>
  </si>
  <si>
    <t>IBM</t>
  </si>
  <si>
    <t>IOT</t>
  </si>
  <si>
    <t>TTAN</t>
  </si>
  <si>
    <t>PLTR</t>
  </si>
  <si>
    <t>ADP</t>
  </si>
  <si>
    <t>PINS</t>
  </si>
  <si>
    <t>EXPE</t>
  </si>
  <si>
    <t>NYT</t>
  </si>
  <si>
    <t>LOGI</t>
  </si>
  <si>
    <t>8136</t>
  </si>
  <si>
    <t>BSY</t>
  </si>
  <si>
    <t>4901</t>
  </si>
  <si>
    <t>NOW</t>
  </si>
  <si>
    <t>RHMG</t>
  </si>
  <si>
    <t>EXLS</t>
  </si>
  <si>
    <t>EFX</t>
  </si>
  <si>
    <t>WSM</t>
  </si>
  <si>
    <t>REA</t>
  </si>
  <si>
    <t>SLM</t>
  </si>
  <si>
    <t>FNF</t>
  </si>
  <si>
    <t>NVDA</t>
  </si>
  <si>
    <t>NICE</t>
  </si>
  <si>
    <t>TYL</t>
  </si>
  <si>
    <t>T CN</t>
  </si>
  <si>
    <t>QLYS</t>
  </si>
  <si>
    <t>RDDT</t>
  </si>
  <si>
    <t>RCIb</t>
  </si>
  <si>
    <t>EBAY</t>
  </si>
  <si>
    <t>IT</t>
  </si>
  <si>
    <t>DUOL</t>
  </si>
  <si>
    <t>ANET</t>
  </si>
  <si>
    <t>RHI</t>
  </si>
  <si>
    <t>SEZL</t>
  </si>
  <si>
    <t>CARG</t>
  </si>
  <si>
    <t>LOPE</t>
  </si>
  <si>
    <t>COIN</t>
  </si>
  <si>
    <t>CHH</t>
  </si>
  <si>
    <t>FAF</t>
  </si>
  <si>
    <t>SYM</t>
  </si>
  <si>
    <t>BCE</t>
  </si>
  <si>
    <t>ADBE</t>
  </si>
  <si>
    <t>SOFI</t>
  </si>
  <si>
    <t>WTC</t>
  </si>
  <si>
    <t>CBOE</t>
  </si>
  <si>
    <t>WSP</t>
  </si>
  <si>
    <t>CIEN</t>
  </si>
  <si>
    <t>OPEN</t>
  </si>
  <si>
    <t>DDOG</t>
  </si>
  <si>
    <t>NBIS</t>
  </si>
  <si>
    <t>CRWV</t>
  </si>
  <si>
    <t>DASH</t>
  </si>
  <si>
    <t>3034</t>
  </si>
  <si>
    <t>STN</t>
  </si>
  <si>
    <t>CNXC</t>
  </si>
  <si>
    <t>LITE</t>
  </si>
  <si>
    <t>SITM</t>
  </si>
  <si>
    <t>DOCN</t>
  </si>
  <si>
    <t>NOKIA</t>
  </si>
  <si>
    <t>TEPRF</t>
  </si>
  <si>
    <t>META</t>
  </si>
  <si>
    <t>XYZ</t>
  </si>
  <si>
    <t>TSM</t>
  </si>
  <si>
    <t>T</t>
  </si>
  <si>
    <t>AMZN</t>
  </si>
  <si>
    <t>RACE</t>
  </si>
  <si>
    <t>GOOG</t>
  </si>
  <si>
    <t>ZBRA</t>
  </si>
  <si>
    <t>W</t>
  </si>
  <si>
    <t>ETN</t>
  </si>
  <si>
    <t>RKT</t>
  </si>
  <si>
    <t>AG1G</t>
  </si>
  <si>
    <t>6752</t>
  </si>
  <si>
    <t>LYFT</t>
  </si>
  <si>
    <t>005930</t>
  </si>
  <si>
    <t>FWONK</t>
  </si>
  <si>
    <t>6857</t>
  </si>
  <si>
    <t>IRM</t>
  </si>
  <si>
    <t>RBLX</t>
  </si>
  <si>
    <t>000660</t>
  </si>
  <si>
    <t>TRMB</t>
  </si>
  <si>
    <t>GLBE</t>
  </si>
  <si>
    <t>DKNG</t>
  </si>
  <si>
    <t>HPE</t>
  </si>
  <si>
    <t>APP</t>
  </si>
  <si>
    <t>CART</t>
  </si>
  <si>
    <t>STM</t>
  </si>
  <si>
    <t>ZETA</t>
  </si>
  <si>
    <t>NOD</t>
  </si>
  <si>
    <t>SAPG</t>
  </si>
  <si>
    <t>SPHR</t>
  </si>
  <si>
    <t>BILL</t>
  </si>
  <si>
    <t>NXPI</t>
  </si>
  <si>
    <t>CMCSA</t>
  </si>
  <si>
    <t>NTAP</t>
  </si>
  <si>
    <t>SNDK</t>
  </si>
  <si>
    <t>NET</t>
  </si>
  <si>
    <t>P</t>
  </si>
  <si>
    <t>CINTAS ORD (NMS)</t>
  </si>
  <si>
    <t>CONSTELLATION SOFTWARE ORD (TOR)</t>
  </si>
  <si>
    <t>AUTODESK ORD (NMS)</t>
  </si>
  <si>
    <t>CANON ORD (TYO) CFD</t>
  </si>
  <si>
    <t>HEALTHEQUITY ORD (NMS)</t>
  </si>
  <si>
    <t>MANHATTAN ASSOCIATES ORD (NMS)</t>
  </si>
  <si>
    <t>PUBLICIS GROUPE ORD (PAR) CFD</t>
  </si>
  <si>
    <t>RECRUIT HOLDINGS CO LTD (TYO) CFD</t>
  </si>
  <si>
    <t>ARAMARK ORD (NYS)</t>
  </si>
  <si>
    <t>VERISK ANALYTICS ORD (NMS)</t>
  </si>
  <si>
    <t>APPLE ORD (NMS)</t>
  </si>
  <si>
    <t>GARMIN ORD (NYS)</t>
  </si>
  <si>
    <t>INTERNATIONAL BUSINESS MACHINES ORD (NYS)</t>
  </si>
  <si>
    <t>SAMSARA CL A ORD (NYS)</t>
  </si>
  <si>
    <t>SERVICETITAN CL A ORD (NMS)</t>
  </si>
  <si>
    <t>PALANTIR TECHNOLOGIES CL A ORD (NMS)</t>
  </si>
  <si>
    <t>AUTOMATIC DATA PROCESSING ORD (NMS)</t>
  </si>
  <si>
    <t>PINTEREST CL A ORD (NYS)</t>
  </si>
  <si>
    <t>EXPEDIA GROUP ORD (NMS)</t>
  </si>
  <si>
    <t>NEW YORK TIMES CL A ORD (NYS)</t>
  </si>
  <si>
    <t>LOGITECH N ORD (NMS)</t>
  </si>
  <si>
    <t>SANRIO ORD (TYO) CFD</t>
  </si>
  <si>
    <t>BENTLEY SYSTEMS CL B ORD (NMS)</t>
  </si>
  <si>
    <t>FUJIFILM HOLDING ORD (TYO) CFD</t>
  </si>
  <si>
    <t>SERVICENOW ORD (NYS)</t>
  </si>
  <si>
    <t>RHEINMETALL ORD (GER)</t>
  </si>
  <si>
    <t>EXLSERVICE HOLDINGS ORD (NMS)</t>
  </si>
  <si>
    <t>EQUIFAX ORD (NYS)</t>
  </si>
  <si>
    <t>WILLIAMS SONOMA ORD (NYS)</t>
  </si>
  <si>
    <t>REA GROUP ORD (ASX) CFD</t>
  </si>
  <si>
    <t>SLM ORD (NMS)</t>
  </si>
  <si>
    <t>FIDELITY NATIONAL FINANCIAL ORD (NYS)</t>
  </si>
  <si>
    <t>NVIDIA ORD (NMS)</t>
  </si>
  <si>
    <t>NICE ADR REP 1 ORD (NMS)</t>
  </si>
  <si>
    <t>TYLER TECHNOLOGIES ORD (NYS)</t>
  </si>
  <si>
    <t>TELUS ORD (TOR)</t>
  </si>
  <si>
    <t>QUALYS ORD (NMS)</t>
  </si>
  <si>
    <t>REDDIT CL A ORD (NYS)</t>
  </si>
  <si>
    <t>ROGERS COMMUNICATIONS CL B ORD (TOR)</t>
  </si>
  <si>
    <t>EBAY ORD (NMS)</t>
  </si>
  <si>
    <t>GARTNER ORD (NYS)</t>
  </si>
  <si>
    <t>DUOLINGO CL A ORD (NMS)</t>
  </si>
  <si>
    <t>ARISTA NETWORKS ORD (NYS)</t>
  </si>
  <si>
    <t>ROBERT HALF ORD (NYS)</t>
  </si>
  <si>
    <t>SEZZLE INC (NMS)</t>
  </si>
  <si>
    <t>CARGURUS CL A ORD (NMS)</t>
  </si>
  <si>
    <t>GRAND CANYON EDUCATION ORD (NMS)</t>
  </si>
  <si>
    <t>COINBASE GLOBAL CL A ORD (NMS)</t>
  </si>
  <si>
    <t>CHOICE HOTELS INTERNATIONAL ORD (NYS)</t>
  </si>
  <si>
    <t>FIRST AMERICAN FINANCIAL ORD (NYS)</t>
  </si>
  <si>
    <t>SYMBOTIC CL A ORD (NMS)</t>
  </si>
  <si>
    <t>BCE ORD (TOR)</t>
  </si>
  <si>
    <t>META US 01/15/27 C720 OTC (META 1/15/27 C720 OTC)</t>
  </si>
  <si>
    <t>ADOBE ORD (NMS)</t>
  </si>
  <si>
    <t>SOFI TECHNOLOGIES ORD (NMS)</t>
  </si>
  <si>
    <t>WISETECH GLOBAL ORD (ASX) CFD</t>
  </si>
  <si>
    <t>DASH US 01/15/27 C200 OTC (DASH 1/15/27 C200 OTC)</t>
  </si>
  <si>
    <t>CBOE GLOBAL MARKETS ORD (BAT)</t>
  </si>
  <si>
    <t>WSP GLOBAL ORD (TOR)</t>
  </si>
  <si>
    <t>CIENA ORD (NYS)</t>
  </si>
  <si>
    <t>OPENDOOR TECHNOLOGIES ORD (NMS)</t>
  </si>
  <si>
    <t>DATADOG CL A ORD (NMS)</t>
  </si>
  <si>
    <t>NEBIUS CL A ORD (NMS)</t>
  </si>
  <si>
    <t>COREWEAVE CL A ORD (NMS)</t>
  </si>
  <si>
    <t>NOVATEK MICROELE ORD (TAI) CFD_USD</t>
  </si>
  <si>
    <t>STANTEC ORD (TOR)</t>
  </si>
  <si>
    <t>CONCENTRIX ORD (NMS)</t>
  </si>
  <si>
    <t>LUMENTUM HOLDINGS ORD (NMS)</t>
  </si>
  <si>
    <t>SITIME ORD (NMS)</t>
  </si>
  <si>
    <t>DIGITALOCEAN HOLDINGS ORD (NYS)</t>
  </si>
  <si>
    <t>NOKIA ADR REPSG 1 SER A ORD (NYS)</t>
  </si>
  <si>
    <t>TELEPERFORMANCE ORD (PAR) CFD</t>
  </si>
  <si>
    <t>BLOCK CL A ORD (NYS)</t>
  </si>
  <si>
    <t>TWN SEMICONT MAN ORD (TAI) CFD_USD</t>
  </si>
  <si>
    <t>AT&amp;T ORD (NYS)</t>
  </si>
  <si>
    <t>AMAZON COM ORD (NMS)</t>
  </si>
  <si>
    <t>ALPHABET CL A ORD (NMS)</t>
  </si>
  <si>
    <t>ZEBRA TECHNOLOGIES CL A ORD (NMS)</t>
  </si>
  <si>
    <t>WAYFAIR CL A ORD (NYS)</t>
  </si>
  <si>
    <t>EATON ORD (NYS)</t>
  </si>
  <si>
    <t>ROCKET COMPANIES CL A ORD (NYS)</t>
  </si>
  <si>
    <t>AUTO1 GROUP ORD (GER)</t>
  </si>
  <si>
    <t>PANASONIC HLDG ORD (TYO) CFD</t>
  </si>
  <si>
    <t>LYFT CL A ORD (NMS)</t>
  </si>
  <si>
    <t>SAMSUNG ELECTR ORD (KSC) CFD_USD</t>
  </si>
  <si>
    <t>LIBERTY MEDIA FORMULA ONE SRS C ORD (NMS)</t>
  </si>
  <si>
    <t>ADVANTEST ORD (TYO) CFD</t>
  </si>
  <si>
    <t>IRON MOUNTAIN ORD (NYS)</t>
  </si>
  <si>
    <t>FERRARI ORD (NYS)</t>
  </si>
  <si>
    <t>ROBLOX CL A ORD (NYS)</t>
  </si>
  <si>
    <t>SK HYNIX ORD (KSC) CFD_USD</t>
  </si>
  <si>
    <t>TRIMBLE ORD (NMS)</t>
  </si>
  <si>
    <t>GLOBAL E ONLINE ORD (NMS)</t>
  </si>
  <si>
    <t>DRAFTKINGS CL A ORD (NMS)</t>
  </si>
  <si>
    <t>HEWLETT PACKARD ENTERPRISE ORD (NYS)</t>
  </si>
  <si>
    <t>APPLOVIN CL A ORD (NMS)</t>
  </si>
  <si>
    <t>MAPLEBEAR ORD (NMS)</t>
  </si>
  <si>
    <t>FERRARI ORD (MIL)</t>
  </si>
  <si>
    <t>STMICROELECTRONICS ADR (NYS)</t>
  </si>
  <si>
    <t>ZETA GLOBAL HOLDINGS CL A ORD (NYS)</t>
  </si>
  <si>
    <t>NORDIC SEMICONDUCTOR ORD (OSL)</t>
  </si>
  <si>
    <t>SAP ORD (GER)</t>
  </si>
  <si>
    <t>SPHERE ENTERTAINMENT CL A ORD (NYS)</t>
  </si>
  <si>
    <t>BILL HOLDINGS ORD (NYS)</t>
  </si>
  <si>
    <t>NXP SEMICONDUCTORS ORD (NMS)</t>
  </si>
  <si>
    <t>COMCAST CL A ORD (NMS)</t>
  </si>
  <si>
    <t>NETAPP ORD (NMS)</t>
  </si>
  <si>
    <t>SANDISK ORD (NMS)</t>
  </si>
  <si>
    <t>CLOUDFLARE CL A ORD (NYS)</t>
  </si>
  <si>
    <t>META US 01/15/27 P620 OTC (META 1/15/27 P620 OTC)</t>
  </si>
  <si>
    <t>EVERPURE CL A ORD (NYS)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</si>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</sst>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13"/>
  <sheetViews>
    <sheetView tabSelected="1" workbookViewId="0">
      <selection activeCell="T11" sqref="T11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91</v>
      </c>
      <c r="C11" s="10">
        <v>10.64005596812768</v>
      </c>
      <c r="D11" s="10">
        <f t="shared" ref="D11:D48" si="0">IF(B11="","",(C11/100))</f>
        <v>0.10640055968127679</v>
      </c>
      <c r="F11" s="11" t="s">
        <v>10</v>
      </c>
      <c r="G11" s="10">
        <v>-6.4259951438552427</v>
      </c>
      <c r="H11" s="12">
        <f t="shared" ref="H11:H42" si="1">IF(F11="","",G11/100)</f>
        <v>-6.4259951438552426E-2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92</v>
      </c>
      <c r="C12" s="10">
        <v>7.1950650992045766</v>
      </c>
      <c r="D12" s="10">
        <f t="shared" si="0"/>
        <v>7.195065099204577E-2</v>
      </c>
      <c r="F12" s="11" t="s">
        <v>18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93</v>
      </c>
      <c r="C13" s="10">
        <v>5.2547784652781599</v>
      </c>
      <c r="D13" s="10">
        <f t="shared" si="0"/>
        <v>5.25477846527816E-2</v>
      </c>
      <c r="F13" s="11" t="s">
        <v>19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94</v>
      </c>
      <c r="C14" s="10">
        <v>4.9119947853290071</v>
      </c>
      <c r="D14" s="10">
        <f t="shared" si="0"/>
        <v>4.9119947853290075E-2</v>
      </c>
      <c r="F14" s="11" t="s">
        <v>20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95</v>
      </c>
      <c r="C15" s="10">
        <v>4.879267170305237</v>
      </c>
      <c r="D15" s="10">
        <f t="shared" si="0"/>
        <v>4.8792671703052369E-2</v>
      </c>
      <c r="F15" s="11" t="s">
        <v>21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96</v>
      </c>
      <c r="C16" s="10">
        <v>4.7918802751980447</v>
      </c>
      <c r="D16" s="10">
        <f t="shared" si="0"/>
        <v>4.7918802751980447E-2</v>
      </c>
      <c r="F16" s="11" t="s">
        <v>22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97</v>
      </c>
      <c r="C17" s="10">
        <v>4.7381546652776985</v>
      </c>
      <c r="D17" s="10">
        <f t="shared" si="0"/>
        <v>4.7381546652776982E-2</v>
      </c>
      <c r="F17" s="11" t="s">
        <v>23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98</v>
      </c>
      <c r="C18" s="10">
        <v>4.3307314974614863</v>
      </c>
      <c r="D18" s="10">
        <f t="shared" si="0"/>
        <v>4.3307314974614861E-2</v>
      </c>
      <c r="F18" s="11" t="s">
        <v>24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99</v>
      </c>
      <c r="C19" s="10">
        <v>4.1460580439357262</v>
      </c>
      <c r="D19" s="10">
        <f t="shared" si="0"/>
        <v>4.1460580439357263E-2</v>
      </c>
      <c r="F19" s="11" t="s">
        <v>25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100</v>
      </c>
      <c r="C20" s="10">
        <v>4.1216441647674635</v>
      </c>
      <c r="D20" s="10">
        <f t="shared" si="0"/>
        <v>4.1216441647674636E-2</v>
      </c>
      <c r="F20" s="11" t="s">
        <v>26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101</v>
      </c>
      <c r="C21" s="10">
        <v>4.0422262295122326</v>
      </c>
      <c r="D21" s="10">
        <f t="shared" si="0"/>
        <v>4.042226229512233E-2</v>
      </c>
      <c r="F21" s="11" t="s">
        <v>27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102</v>
      </c>
      <c r="C22" s="10">
        <v>3.5991535325953463</v>
      </c>
      <c r="D22" s="10">
        <f t="shared" si="0"/>
        <v>3.5991535325953464E-2</v>
      </c>
      <c r="F22" s="11" t="s">
        <v>28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103</v>
      </c>
      <c r="C23" s="10">
        <v>3.3814452225683911</v>
      </c>
      <c r="D23" s="10">
        <f t="shared" si="0"/>
        <v>3.3814452225683911E-2</v>
      </c>
      <c r="F23" s="11" t="s">
        <v>29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104</v>
      </c>
      <c r="C24" s="10">
        <v>3.3235701789410972</v>
      </c>
      <c r="D24" s="10">
        <f t="shared" si="0"/>
        <v>3.3235701789410974E-2</v>
      </c>
      <c r="F24" s="11" t="s">
        <v>30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105</v>
      </c>
      <c r="C25" s="10">
        <v>3.3115135890385243</v>
      </c>
      <c r="D25" s="10">
        <f t="shared" si="0"/>
        <v>3.3115135890385242E-2</v>
      </c>
      <c r="F25" s="11" t="s">
        <v>31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106</v>
      </c>
      <c r="C26" s="10">
        <v>3.2683840292570423</v>
      </c>
      <c r="D26" s="10">
        <f t="shared" si="0"/>
        <v>3.2683840292570425E-2</v>
      </c>
      <c r="F26" s="11" t="s">
        <v>32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107</v>
      </c>
      <c r="C27" s="10">
        <v>3.0222359078790135</v>
      </c>
      <c r="D27" s="10">
        <f t="shared" si="0"/>
        <v>3.0222359078790135E-2</v>
      </c>
      <c r="F27" s="11" t="s">
        <v>33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108</v>
      </c>
      <c r="C28" s="10">
        <v>2.8433870771432437</v>
      </c>
      <c r="D28" s="10">
        <f t="shared" si="0"/>
        <v>2.8433870771432435E-2</v>
      </c>
      <c r="F28" s="11" t="s">
        <v>34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109</v>
      </c>
      <c r="C29" s="10">
        <v>2.7046177195658769</v>
      </c>
      <c r="D29" s="10">
        <f t="shared" si="0"/>
        <v>2.7046177195658768E-2</v>
      </c>
      <c r="F29" s="11" t="s">
        <v>35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110</v>
      </c>
      <c r="C30" s="10">
        <v>2.3384310105678714</v>
      </c>
      <c r="D30" s="10">
        <f t="shared" si="0"/>
        <v>2.3384310105678714E-2</v>
      </c>
      <c r="F30" s="11" t="s">
        <v>36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111</v>
      </c>
      <c r="C31" s="10">
        <v>2.2703685525546646</v>
      </c>
      <c r="D31" s="10">
        <f t="shared" si="0"/>
        <v>2.2703685525546646E-2</v>
      </c>
      <c r="F31" s="11" t="s">
        <v>37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112</v>
      </c>
      <c r="C32" s="10">
        <v>2.2584248608532977</v>
      </c>
      <c r="D32" s="10">
        <f t="shared" si="0"/>
        <v>2.2584248608532979E-2</v>
      </c>
      <c r="F32" s="11" t="s">
        <v>38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113</v>
      </c>
      <c r="C33" s="10">
        <v>2.2387676595398327</v>
      </c>
      <c r="D33" s="10">
        <f t="shared" si="0"/>
        <v>2.2387676595398327E-2</v>
      </c>
      <c r="F33" s="11" t="s">
        <v>39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114</v>
      </c>
      <c r="C34" s="10">
        <v>2.1941851726367463</v>
      </c>
      <c r="D34" s="10">
        <f t="shared" si="0"/>
        <v>2.1941851726367465E-2</v>
      </c>
      <c r="F34" s="11" t="s">
        <v>40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115</v>
      </c>
      <c r="C35" s="10">
        <v>2.1727092295605615</v>
      </c>
      <c r="D35" s="10">
        <f t="shared" si="0"/>
        <v>2.1727092295605613E-2</v>
      </c>
      <c r="F35" s="11" t="s">
        <v>41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116</v>
      </c>
      <c r="C36" s="10">
        <v>1.8923947547785789</v>
      </c>
      <c r="D36" s="10">
        <f t="shared" si="0"/>
        <v>1.8923947547785789E-2</v>
      </c>
      <c r="F36" s="11" t="s">
        <v>42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117</v>
      </c>
      <c r="C37" s="10">
        <v>1.8376374279430556</v>
      </c>
      <c r="D37" s="10">
        <f t="shared" si="0"/>
        <v>1.8376374279430556E-2</v>
      </c>
      <c r="F37" s="11" t="s">
        <v>43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118</v>
      </c>
      <c r="C38" s="10">
        <v>1.8052287869531423</v>
      </c>
      <c r="D38" s="10">
        <f t="shared" si="0"/>
        <v>1.8052287869531423E-2</v>
      </c>
      <c r="F38" s="11" t="s">
        <v>44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119</v>
      </c>
      <c r="C39" s="10">
        <v>1.7885051185863587</v>
      </c>
      <c r="D39" s="10">
        <f t="shared" si="0"/>
        <v>1.7885051185863587E-2</v>
      </c>
      <c r="F39" s="11" t="s">
        <v>45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120</v>
      </c>
      <c r="C40" s="10">
        <v>1.1734697487598551</v>
      </c>
      <c r="D40" s="10">
        <f t="shared" si="0"/>
        <v>1.1734697487598551E-2</v>
      </c>
      <c r="F40" s="11" t="s">
        <v>46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121</v>
      </c>
      <c r="C41" s="10">
        <v>1.1247678708981241</v>
      </c>
      <c r="D41" s="10">
        <f t="shared" si="0"/>
        <v>1.1247678708981241E-2</v>
      </c>
      <c r="F41" s="11" t="s">
        <v>47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122</v>
      </c>
      <c r="C42" s="10">
        <v>0.97437978627921507</v>
      </c>
      <c r="D42" s="10">
        <f t="shared" si="0"/>
        <v>9.7437978627921504E-3</v>
      </c>
      <c r="F42" s="11" t="s">
        <v>48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123</v>
      </c>
      <c r="C43" s="10">
        <v>0.95525050810167356</v>
      </c>
      <c r="D43" s="10">
        <f t="shared" si="0"/>
        <v>9.5525050810167361E-3</v>
      </c>
      <c r="F43" s="11" t="s">
        <v>49</v>
      </c>
      <c r="G43" s="10">
        <v>-1.3439701619380315</v>
      </c>
      <c r="H43" s="12">
        <f t="shared" ref="H43:H74" si="2">IF(F43="","",G43/100)</f>
        <v>-1.3439701619380316E-2</v>
      </c>
    </row>
    <row r="44" spans="2:8" x14ac:dyDescent="0.2">
      <c r="B44" s="9" t="s">
        <v>124</v>
      </c>
      <c r="C44" s="10">
        <v>0.86489775821718662</v>
      </c>
      <c r="D44" s="10">
        <f t="shared" si="0"/>
        <v>8.6489775821718667E-3</v>
      </c>
      <c r="F44" s="11" t="s">
        <v>50</v>
      </c>
      <c r="G44" s="10">
        <v>-1.3329396474390769</v>
      </c>
      <c r="H44" s="12">
        <f t="shared" si="2"/>
        <v>-1.3329396474390768E-2</v>
      </c>
    </row>
    <row r="45" spans="2:8" x14ac:dyDescent="0.2">
      <c r="B45" s="9" t="s">
        <v>125</v>
      </c>
      <c r="C45" s="10">
        <v>0.78258783268582433</v>
      </c>
      <c r="D45" s="10">
        <f t="shared" si="0"/>
        <v>7.8258783268582433E-3</v>
      </c>
      <c r="F45" s="11" t="s">
        <v>51</v>
      </c>
      <c r="G45" s="10">
        <v>-1.302842523119903</v>
      </c>
      <c r="H45" s="12">
        <f t="shared" si="2"/>
        <v>-1.302842523119903E-2</v>
      </c>
    </row>
    <row r="46" spans="2:8" x14ac:dyDescent="0.2">
      <c r="B46" s="9" t="s">
        <v>126</v>
      </c>
      <c r="C46" s="10">
        <v>0.7564468353401671</v>
      </c>
      <c r="D46" s="10">
        <f t="shared" si="0"/>
        <v>7.5644683534016712E-3</v>
      </c>
      <c r="F46" s="11" t="s">
        <v>52</v>
      </c>
      <c r="G46" s="10">
        <v>-1.2861151014962608</v>
      </c>
      <c r="H46" s="12">
        <f t="shared" si="2"/>
        <v>-1.2861151014962609E-2</v>
      </c>
    </row>
    <row r="47" spans="2:8" x14ac:dyDescent="0.2">
      <c r="B47" s="9" t="s">
        <v>127</v>
      </c>
      <c r="C47" s="10">
        <v>0.4816872103436059</v>
      </c>
      <c r="D47" s="10">
        <f t="shared" si="0"/>
        <v>4.816872103436059E-3</v>
      </c>
      <c r="F47" s="11" t="s">
        <v>53</v>
      </c>
      <c r="G47" s="10">
        <v>-1.2512477732885505</v>
      </c>
      <c r="H47" s="12">
        <f t="shared" si="2"/>
        <v>-1.2512477732885505E-2</v>
      </c>
    </row>
    <row r="48" spans="2:8" x14ac:dyDescent="0.2">
      <c r="B48" s="9" t="s">
        <v>8</v>
      </c>
      <c r="C48" s="10">
        <v>0.2768825325933561</v>
      </c>
      <c r="D48" s="10">
        <f t="shared" si="0"/>
        <v>2.7688253259335609E-3</v>
      </c>
      <c r="F48" s="11" t="s">
        <v>54</v>
      </c>
      <c r="G48" s="10">
        <v>-1.245197897856299</v>
      </c>
      <c r="H48" s="12">
        <f t="shared" si="2"/>
        <v>-1.245197897856299E-2</v>
      </c>
    </row>
    <row r="49" spans="2:8" x14ac:dyDescent="0.2">
      <c r="B49" s="9"/>
      <c r="C49" s="11"/>
      <c r="D49" s="11"/>
      <c r="F49" s="11" t="s">
        <v>55</v>
      </c>
      <c r="G49" s="10">
        <v>-1.1713001457601533</v>
      </c>
      <c r="H49" s="12">
        <f t="shared" si="2"/>
        <v>-1.1713001457601534E-2</v>
      </c>
    </row>
    <row r="50" spans="2:8" x14ac:dyDescent="0.2">
      <c r="F50" s="11" t="s">
        <v>56</v>
      </c>
      <c r="G50" s="10">
        <v>-1.1605663203932066</v>
      </c>
      <c r="H50" s="12">
        <f t="shared" si="2"/>
        <v>-1.1605663203932066E-2</v>
      </c>
    </row>
    <row r="51" spans="2:8" x14ac:dyDescent="0.2">
      <c r="F51" s="11" t="s">
        <v>57</v>
      </c>
      <c r="G51" s="10">
        <v>-1.1509750922079443</v>
      </c>
      <c r="H51" s="12">
        <f t="shared" si="2"/>
        <v>-1.1509750922079443E-2</v>
      </c>
    </row>
    <row r="52" spans="2:8" x14ac:dyDescent="0.2">
      <c r="F52" s="11" t="s">
        <v>58</v>
      </c>
      <c r="G52" s="10">
        <v>-1.0709084280107859</v>
      </c>
      <c r="H52" s="12">
        <f t="shared" si="2"/>
        <v>-1.0709084280107859E-2</v>
      </c>
    </row>
    <row r="53" spans="2:8" x14ac:dyDescent="0.2">
      <c r="F53" s="11" t="s">
        <v>59</v>
      </c>
      <c r="G53" s="10">
        <v>-1.0610580769480413</v>
      </c>
      <c r="H53" s="12">
        <f t="shared" si="2"/>
        <v>-1.0610580769480413E-2</v>
      </c>
    </row>
    <row r="54" spans="2:8" x14ac:dyDescent="0.2">
      <c r="D54" s="1"/>
      <c r="F54" s="11" t="s">
        <v>60</v>
      </c>
      <c r="G54" s="10">
        <v>-1.0207023736332841</v>
      </c>
      <c r="H54" s="12">
        <f t="shared" si="2"/>
        <v>-1.0207023736332841E-2</v>
      </c>
    </row>
    <row r="55" spans="2:8" x14ac:dyDescent="0.2">
      <c r="D55" s="1"/>
      <c r="F55" s="11" t="s">
        <v>61</v>
      </c>
      <c r="G55" s="10">
        <v>-0.98033362007491975</v>
      </c>
      <c r="H55" s="12">
        <f t="shared" si="2"/>
        <v>-9.8033362007491978E-3</v>
      </c>
    </row>
    <row r="56" spans="2:8" x14ac:dyDescent="0.2">
      <c r="D56" s="1"/>
      <c r="F56" s="11" t="s">
        <v>62</v>
      </c>
      <c r="G56" s="10">
        <v>-0.9644062055724083</v>
      </c>
      <c r="H56" s="12">
        <f t="shared" si="2"/>
        <v>-9.6440620557240835E-3</v>
      </c>
    </row>
    <row r="57" spans="2:8" x14ac:dyDescent="0.2">
      <c r="D57" s="1"/>
      <c r="F57" s="11" t="s">
        <v>63</v>
      </c>
      <c r="G57" s="10">
        <v>-0.92358035363769697</v>
      </c>
      <c r="H57" s="12">
        <f t="shared" si="2"/>
        <v>-9.2358035363769696E-3</v>
      </c>
    </row>
    <row r="58" spans="2:8" x14ac:dyDescent="0.2">
      <c r="D58" s="1"/>
      <c r="F58" s="11" t="s">
        <v>64</v>
      </c>
      <c r="G58" s="10">
        <v>-0.91996570803856947</v>
      </c>
      <c r="H58" s="12">
        <f t="shared" si="2"/>
        <v>-9.1996570803856946E-3</v>
      </c>
    </row>
    <row r="59" spans="2:8" x14ac:dyDescent="0.2">
      <c r="D59" s="1"/>
      <c r="F59" s="11" t="s">
        <v>65</v>
      </c>
      <c r="G59" s="10">
        <v>-0.89122288634373958</v>
      </c>
      <c r="H59" s="12">
        <f t="shared" si="2"/>
        <v>-8.9122288634373957E-3</v>
      </c>
    </row>
    <row r="60" spans="2:8" x14ac:dyDescent="0.2">
      <c r="D60" s="1"/>
      <c r="F60" s="11" t="s">
        <v>66</v>
      </c>
      <c r="G60" s="10">
        <v>-0.88366122175361306</v>
      </c>
      <c r="H60" s="12">
        <f t="shared" si="2"/>
        <v>-8.8366122175361304E-3</v>
      </c>
    </row>
    <row r="61" spans="2:8" x14ac:dyDescent="0.2">
      <c r="D61" s="1"/>
      <c r="F61" s="11" t="s">
        <v>67</v>
      </c>
      <c r="G61" s="10">
        <v>-0.85920520117370169</v>
      </c>
      <c r="H61" s="12">
        <f t="shared" si="2"/>
        <v>-8.5920520117370169E-3</v>
      </c>
    </row>
    <row r="62" spans="2:8" x14ac:dyDescent="0.2">
      <c r="D62" s="1"/>
      <c r="F62" s="11" t="s">
        <v>68</v>
      </c>
      <c r="G62" s="10">
        <v>-0.83451957787032593</v>
      </c>
      <c r="H62" s="12">
        <f t="shared" si="2"/>
        <v>-8.3451957787032596E-3</v>
      </c>
    </row>
    <row r="63" spans="2:8" x14ac:dyDescent="0.2">
      <c r="D63" s="1"/>
      <c r="F63" s="11" t="s">
        <v>69</v>
      </c>
      <c r="G63" s="10">
        <v>-0.78195496384089247</v>
      </c>
      <c r="H63" s="12">
        <f t="shared" si="2"/>
        <v>-7.819549638408925E-3</v>
      </c>
    </row>
    <row r="64" spans="2:8" x14ac:dyDescent="0.2">
      <c r="D64" s="1"/>
      <c r="F64" s="11" t="s">
        <v>70</v>
      </c>
      <c r="G64" s="10">
        <v>-0.75481416200005946</v>
      </c>
      <c r="H64" s="12">
        <f t="shared" si="2"/>
        <v>-7.5481416200005947E-3</v>
      </c>
    </row>
    <row r="65" spans="4:8" x14ac:dyDescent="0.2">
      <c r="D65" s="1"/>
      <c r="F65" s="11" t="s">
        <v>71</v>
      </c>
      <c r="G65" s="10">
        <v>-0.67829021780682441</v>
      </c>
      <c r="H65" s="12">
        <f t="shared" si="2"/>
        <v>-6.7829021780682446E-3</v>
      </c>
    </row>
    <row r="66" spans="4:8" x14ac:dyDescent="0.2">
      <c r="D66" s="1"/>
      <c r="F66" s="11" t="s">
        <v>72</v>
      </c>
      <c r="G66" s="10">
        <v>-0.6310523461797608</v>
      </c>
      <c r="H66" s="12">
        <f t="shared" si="2"/>
        <v>-6.3105234617976081E-3</v>
      </c>
    </row>
    <row r="67" spans="4:8" x14ac:dyDescent="0.2">
      <c r="D67" s="1"/>
      <c r="F67" s="11" t="s">
        <v>73</v>
      </c>
      <c r="G67" s="10">
        <v>-0.63061754196957609</v>
      </c>
      <c r="H67" s="12">
        <f t="shared" si="2"/>
        <v>-6.3061754196957606E-3</v>
      </c>
    </row>
    <row r="68" spans="4:8" x14ac:dyDescent="0.2">
      <c r="D68" s="1"/>
      <c r="F68" s="11" t="s">
        <v>74</v>
      </c>
      <c r="G68" s="10">
        <v>-0.56071187298688574</v>
      </c>
      <c r="H68" s="12">
        <f t="shared" si="2"/>
        <v>-5.6071187298688575E-3</v>
      </c>
    </row>
    <row r="69" spans="4:8" x14ac:dyDescent="0.2">
      <c r="D69" s="1"/>
      <c r="F69" s="11" t="s">
        <v>75</v>
      </c>
      <c r="G69" s="10">
        <v>-0.56007034541067402</v>
      </c>
      <c r="H69" s="12">
        <f t="shared" si="2"/>
        <v>-5.6007034541067403E-3</v>
      </c>
    </row>
    <row r="70" spans="4:8" x14ac:dyDescent="0.2">
      <c r="D70" s="1"/>
      <c r="F70" s="11" t="s">
        <v>76</v>
      </c>
      <c r="G70" s="10">
        <v>-0.49515880009730046</v>
      </c>
      <c r="H70" s="12">
        <f t="shared" si="2"/>
        <v>-4.9515880009730045E-3</v>
      </c>
    </row>
    <row r="71" spans="4:8" x14ac:dyDescent="0.2">
      <c r="D71" s="1"/>
      <c r="F71" s="11" t="s">
        <v>77</v>
      </c>
      <c r="G71" s="10">
        <v>-0.48492530203864975</v>
      </c>
      <c r="H71" s="12">
        <f t="shared" si="2"/>
        <v>-4.8492530203864976E-3</v>
      </c>
    </row>
    <row r="72" spans="4:8" x14ac:dyDescent="0.2">
      <c r="D72" s="1"/>
      <c r="F72" s="11" t="s">
        <v>78</v>
      </c>
      <c r="G72" s="10">
        <v>-0.46923884125274068</v>
      </c>
      <c r="H72" s="12">
        <f t="shared" si="2"/>
        <v>-4.6923884125274068E-3</v>
      </c>
    </row>
    <row r="73" spans="4:8" x14ac:dyDescent="0.2">
      <c r="D73" s="1"/>
      <c r="F73" s="11" t="s">
        <v>79</v>
      </c>
      <c r="G73" s="10">
        <v>-0.46173053312736234</v>
      </c>
      <c r="H73" s="12">
        <f t="shared" si="2"/>
        <v>-4.6173053312736235E-3</v>
      </c>
    </row>
    <row r="74" spans="4:8" x14ac:dyDescent="0.2">
      <c r="D74" s="1"/>
      <c r="F74" s="11" t="s">
        <v>80</v>
      </c>
      <c r="G74" s="10">
        <v>-0.44554891075458514</v>
      </c>
      <c r="H74" s="12">
        <f t="shared" si="2"/>
        <v>-4.4554891075458515E-3</v>
      </c>
    </row>
    <row r="75" spans="4:8" x14ac:dyDescent="0.2">
      <c r="D75" s="1"/>
      <c r="F75" s="11" t="s">
        <v>81</v>
      </c>
      <c r="G75" s="10">
        <v>-0.3679944396176823</v>
      </c>
      <c r="H75" s="12">
        <f t="shared" ref="H75:H106" si="3">IF(F75="","",G75/100)</f>
        <v>-3.6799443961768232E-3</v>
      </c>
    </row>
    <row r="76" spans="4:8" x14ac:dyDescent="0.2">
      <c r="D76" s="1"/>
      <c r="F76" s="11" t="s">
        <v>82</v>
      </c>
      <c r="G76" s="10">
        <v>-0.35606298251969726</v>
      </c>
      <c r="H76" s="12">
        <f t="shared" si="3"/>
        <v>-3.5606298251969724E-3</v>
      </c>
    </row>
    <row r="77" spans="4:8" x14ac:dyDescent="0.2">
      <c r="D77" s="1"/>
      <c r="F77" s="11" t="s">
        <v>83</v>
      </c>
      <c r="G77" s="10">
        <v>-0.34449675752917985</v>
      </c>
      <c r="H77" s="12">
        <f t="shared" si="3"/>
        <v>-3.4449675752917987E-3</v>
      </c>
    </row>
    <row r="78" spans="4:8" x14ac:dyDescent="0.2">
      <c r="D78" s="1"/>
      <c r="F78" s="11" t="s">
        <v>84</v>
      </c>
      <c r="G78" s="10">
        <v>-0.27875728165155722</v>
      </c>
      <c r="H78" s="12">
        <f t="shared" si="3"/>
        <v>-2.787572816515572E-3</v>
      </c>
    </row>
    <row r="79" spans="4:8" x14ac:dyDescent="0.2">
      <c r="D79" s="1"/>
      <c r="F79" s="11" t="s">
        <v>85</v>
      </c>
      <c r="G79" s="10">
        <v>-0.24921887088681788</v>
      </c>
      <c r="H79" s="12">
        <f t="shared" si="3"/>
        <v>-2.4921887088681788E-3</v>
      </c>
    </row>
    <row r="80" spans="4:8" x14ac:dyDescent="0.2">
      <c r="D80" s="1"/>
      <c r="F80" s="11" t="s">
        <v>86</v>
      </c>
      <c r="G80" s="10">
        <v>-0.23320955251166742</v>
      </c>
      <c r="H80" s="12">
        <f t="shared" si="3"/>
        <v>-2.3320955251166743E-3</v>
      </c>
    </row>
    <row r="81" spans="4:8" x14ac:dyDescent="0.2">
      <c r="D81" s="1"/>
      <c r="F81" s="11" t="s">
        <v>87</v>
      </c>
      <c r="G81" s="10">
        <v>-0.23178456106778422</v>
      </c>
      <c r="H81" s="12">
        <f t="shared" si="3"/>
        <v>-2.3178456106778423E-3</v>
      </c>
    </row>
    <row r="82" spans="4:8" x14ac:dyDescent="0.2">
      <c r="D82" s="1"/>
      <c r="F82" s="11" t="s">
        <v>88</v>
      </c>
      <c r="G82" s="10">
        <v>-0.23062227374651528</v>
      </c>
      <c r="H82" s="12">
        <f t="shared" si="3"/>
        <v>-2.3062227374651529E-3</v>
      </c>
    </row>
    <row r="83" spans="4:8" x14ac:dyDescent="0.2">
      <c r="D83" s="1"/>
      <c r="F83" s="11" t="s">
        <v>89</v>
      </c>
      <c r="G83" s="10">
        <v>-0.2198304019835241</v>
      </c>
      <c r="H83" s="12">
        <f t="shared" si="3"/>
        <v>-2.198304019835241E-3</v>
      </c>
    </row>
    <row r="84" spans="4:8" x14ac:dyDescent="0.2">
      <c r="D84" s="1"/>
      <c r="F84" s="11" t="s">
        <v>90</v>
      </c>
      <c r="G84" s="10">
        <v>-0.21575192897618961</v>
      </c>
      <c r="H84" s="12">
        <f t="shared" si="3"/>
        <v>-2.157519289761896E-3</v>
      </c>
    </row>
    <row r="85" spans="4:8" x14ac:dyDescent="0.2">
      <c r="D85" s="1"/>
      <c r="F85" s="11" t="s">
        <v>9</v>
      </c>
      <c r="G85" s="10">
        <v>-0.17906361599513917</v>
      </c>
      <c r="H85" s="12">
        <f t="shared" si="3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13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200</v>
      </c>
      <c r="C11" s="10">
        <v>10.64005596812768</v>
      </c>
      <c r="D11" s="10">
        <f t="shared" ref="D11:D51" si="0">IF(B11="","",(C11/100))</f>
        <v>0.10640055968127679</v>
      </c>
      <c r="F11" s="11" t="s">
        <v>16</v>
      </c>
      <c r="G11" s="10">
        <v>-6.4259951438552427</v>
      </c>
      <c r="H11" s="12">
        <f t="shared" ref="H11:H42" si="1">IF(F11="","",G11/100)</f>
        <v>-6.4259951438552426E-2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201</v>
      </c>
      <c r="C12" s="10">
        <v>7.1950650992045766</v>
      </c>
      <c r="D12" s="10">
        <f t="shared" si="0"/>
        <v>7.195065099204577E-2</v>
      </c>
      <c r="F12" s="11" t="s">
        <v>17</v>
      </c>
      <c r="G12" s="10">
        <v>-5.2216320699761347</v>
      </c>
      <c r="H12" s="12">
        <f t="shared" si="1"/>
        <v>-5.221632069976135E-2</v>
      </c>
      <c r="K12" s="9"/>
      <c r="L12" s="11"/>
      <c r="M12" s="11"/>
      <c r="O12" s="11"/>
      <c r="P12" s="11"/>
      <c r="Q12" s="13"/>
    </row>
    <row r="13" spans="1:17" x14ac:dyDescent="0.2">
      <c r="B13" s="9" t="s">
        <v>202</v>
      </c>
      <c r="C13" s="10">
        <v>5.2547784652781599</v>
      </c>
      <c r="D13" s="10">
        <f t="shared" si="0"/>
        <v>5.25477846527816E-2</v>
      </c>
      <c r="F13" s="11" t="s">
        <v>128</v>
      </c>
      <c r="G13" s="10">
        <v>-4.365073485393987</v>
      </c>
      <c r="H13" s="12">
        <f t="shared" si="1"/>
        <v>-4.3650734853939867E-2</v>
      </c>
      <c r="I13" s="1"/>
    </row>
    <row r="14" spans="1:17" x14ac:dyDescent="0.2">
      <c r="B14" s="9" t="s">
        <v>203</v>
      </c>
      <c r="C14" s="10">
        <v>4.9119947853290071</v>
      </c>
      <c r="D14" s="10">
        <f t="shared" si="0"/>
        <v>4.9119947853290075E-2</v>
      </c>
      <c r="F14" s="11" t="s">
        <v>129</v>
      </c>
      <c r="G14" s="10">
        <v>-4.3408345472357777</v>
      </c>
      <c r="H14" s="12">
        <f t="shared" si="1"/>
        <v>-4.3408345472357779E-2</v>
      </c>
      <c r="I14" s="1"/>
    </row>
    <row r="15" spans="1:17" x14ac:dyDescent="0.2">
      <c r="B15" s="9" t="s">
        <v>204</v>
      </c>
      <c r="C15" s="10">
        <v>4.7918802751980447</v>
      </c>
      <c r="D15" s="10">
        <f t="shared" si="0"/>
        <v>4.7918802751980447E-2</v>
      </c>
      <c r="F15" s="11" t="s">
        <v>130</v>
      </c>
      <c r="G15" s="10">
        <v>-3.8140152582354738</v>
      </c>
      <c r="H15" s="12">
        <f t="shared" si="1"/>
        <v>-3.8140152582354737E-2</v>
      </c>
      <c r="I15" s="1"/>
    </row>
    <row r="16" spans="1:17" x14ac:dyDescent="0.2">
      <c r="B16" s="9" t="s">
        <v>205</v>
      </c>
      <c r="C16" s="10">
        <v>4.7381546652776985</v>
      </c>
      <c r="D16" s="10">
        <f t="shared" si="0"/>
        <v>4.7381546652776982E-2</v>
      </c>
      <c r="F16" s="11" t="s">
        <v>131</v>
      </c>
      <c r="G16" s="10">
        <v>-3.6106726835593657</v>
      </c>
      <c r="H16" s="12">
        <f t="shared" si="1"/>
        <v>-3.6106726835593655E-2</v>
      </c>
      <c r="I16" s="1"/>
    </row>
    <row r="17" spans="2:8" x14ac:dyDescent="0.2">
      <c r="B17" s="9" t="s">
        <v>206</v>
      </c>
      <c r="C17" s="10">
        <v>4.3307314974614863</v>
      </c>
      <c r="D17" s="10">
        <f t="shared" si="0"/>
        <v>4.3307314974614861E-2</v>
      </c>
      <c r="F17" s="11" t="s">
        <v>132</v>
      </c>
      <c r="G17" s="10">
        <v>-3.5520112268146975</v>
      </c>
      <c r="H17" s="12">
        <f t="shared" si="1"/>
        <v>-3.5520112268146976E-2</v>
      </c>
    </row>
    <row r="18" spans="2:8" x14ac:dyDescent="0.2">
      <c r="B18" s="9" t="s">
        <v>207</v>
      </c>
      <c r="C18" s="10">
        <v>4.1460580439357262</v>
      </c>
      <c r="D18" s="10">
        <f t="shared" si="0"/>
        <v>4.1460580439357263E-2</v>
      </c>
      <c r="F18" s="11" t="s">
        <v>133</v>
      </c>
      <c r="G18" s="10">
        <v>-3.4496143935110948</v>
      </c>
      <c r="H18" s="12">
        <f t="shared" si="1"/>
        <v>-3.4496143935110947E-2</v>
      </c>
    </row>
    <row r="19" spans="2:8" x14ac:dyDescent="0.2">
      <c r="B19" s="9" t="s">
        <v>208</v>
      </c>
      <c r="C19" s="10">
        <v>4.1216441647674635</v>
      </c>
      <c r="D19" s="10">
        <f t="shared" si="0"/>
        <v>4.1216441647674636E-2</v>
      </c>
      <c r="F19" s="11" t="s">
        <v>134</v>
      </c>
      <c r="G19" s="10">
        <v>-3.4211573857452673</v>
      </c>
      <c r="H19" s="12">
        <f t="shared" si="1"/>
        <v>-3.4211573857452673E-2</v>
      </c>
    </row>
    <row r="20" spans="2:8" x14ac:dyDescent="0.2">
      <c r="B20" s="9" t="s">
        <v>209</v>
      </c>
      <c r="C20" s="10">
        <v>4.0422262295122326</v>
      </c>
      <c r="D20" s="10">
        <f t="shared" si="0"/>
        <v>4.042226229512233E-2</v>
      </c>
      <c r="F20" s="11" t="s">
        <v>135</v>
      </c>
      <c r="G20" s="10">
        <v>-3.0710882033923217</v>
      </c>
      <c r="H20" s="12">
        <f t="shared" si="1"/>
        <v>-3.0710882033923217E-2</v>
      </c>
    </row>
    <row r="21" spans="2:8" x14ac:dyDescent="0.2">
      <c r="B21" s="9" t="s">
        <v>210</v>
      </c>
      <c r="C21" s="10">
        <v>3.5991535325953463</v>
      </c>
      <c r="D21" s="10">
        <f t="shared" si="0"/>
        <v>3.5991535325953464E-2</v>
      </c>
      <c r="F21" s="11" t="s">
        <v>136</v>
      </c>
      <c r="G21" s="10">
        <v>-3.0473678223257492</v>
      </c>
      <c r="H21" s="12">
        <f t="shared" si="1"/>
        <v>-3.0473678223257493E-2</v>
      </c>
    </row>
    <row r="22" spans="2:8" x14ac:dyDescent="0.2">
      <c r="B22" s="9" t="s">
        <v>211</v>
      </c>
      <c r="C22" s="10">
        <v>3.3814452225683911</v>
      </c>
      <c r="D22" s="10">
        <f t="shared" si="0"/>
        <v>3.3814452225683911E-2</v>
      </c>
      <c r="F22" s="11" t="s">
        <v>137</v>
      </c>
      <c r="G22" s="10">
        <v>-3.0344210290871141</v>
      </c>
      <c r="H22" s="12">
        <f t="shared" si="1"/>
        <v>-3.034421029087114E-2</v>
      </c>
    </row>
    <row r="23" spans="2:8" x14ac:dyDescent="0.2">
      <c r="B23" s="9" t="s">
        <v>212</v>
      </c>
      <c r="C23" s="10">
        <v>3.3235701789410972</v>
      </c>
      <c r="D23" s="10">
        <f t="shared" si="0"/>
        <v>3.3235701789410974E-2</v>
      </c>
      <c r="F23" s="11" t="s">
        <v>138</v>
      </c>
      <c r="G23" s="10">
        <v>-3.0047060322135644</v>
      </c>
      <c r="H23" s="12">
        <f t="shared" si="1"/>
        <v>-3.0047060322135645E-2</v>
      </c>
    </row>
    <row r="24" spans="2:8" x14ac:dyDescent="0.2">
      <c r="B24" s="9" t="s">
        <v>213</v>
      </c>
      <c r="C24" s="10">
        <v>3.3115135890385243</v>
      </c>
      <c r="D24" s="10">
        <f t="shared" si="0"/>
        <v>3.3115135890385242E-2</v>
      </c>
      <c r="F24" s="11" t="s">
        <v>139</v>
      </c>
      <c r="G24" s="10">
        <v>-2.846663571898902</v>
      </c>
      <c r="H24" s="12">
        <f t="shared" si="1"/>
        <v>-2.8466635718989018E-2</v>
      </c>
    </row>
    <row r="25" spans="2:8" x14ac:dyDescent="0.2">
      <c r="B25" s="9" t="s">
        <v>214</v>
      </c>
      <c r="C25" s="10">
        <v>3.2683840292570423</v>
      </c>
      <c r="D25" s="10">
        <f t="shared" si="0"/>
        <v>3.2683840292570425E-2</v>
      </c>
      <c r="F25" s="11" t="s">
        <v>140</v>
      </c>
      <c r="G25" s="10">
        <v>-2.5229770882784228</v>
      </c>
      <c r="H25" s="12">
        <f t="shared" si="1"/>
        <v>-2.522977088278423E-2</v>
      </c>
    </row>
    <row r="26" spans="2:8" x14ac:dyDescent="0.2">
      <c r="B26" s="9" t="s">
        <v>215</v>
      </c>
      <c r="C26" s="10">
        <v>3.0222359078790135</v>
      </c>
      <c r="D26" s="10">
        <f t="shared" si="0"/>
        <v>3.0222359078790135E-2</v>
      </c>
      <c r="F26" s="11" t="s">
        <v>141</v>
      </c>
      <c r="G26" s="10">
        <v>-2.3856987210331826</v>
      </c>
      <c r="H26" s="12">
        <f t="shared" si="1"/>
        <v>-2.3856987210331825E-2</v>
      </c>
    </row>
    <row r="27" spans="2:8" x14ac:dyDescent="0.2">
      <c r="B27" s="9" t="s">
        <v>216</v>
      </c>
      <c r="C27" s="10">
        <v>2.8705033083184657</v>
      </c>
      <c r="D27" s="10">
        <f t="shared" si="0"/>
        <v>2.8705033083184658E-2</v>
      </c>
      <c r="F27" s="11" t="s">
        <v>142</v>
      </c>
      <c r="G27" s="10">
        <v>-2.3761832582530054</v>
      </c>
      <c r="H27" s="12">
        <f t="shared" si="1"/>
        <v>-2.3761832582530052E-2</v>
      </c>
    </row>
    <row r="28" spans="2:8" x14ac:dyDescent="0.2">
      <c r="B28" s="9" t="s">
        <v>217</v>
      </c>
      <c r="C28" s="10">
        <v>2.8433870771432437</v>
      </c>
      <c r="D28" s="10">
        <f t="shared" si="0"/>
        <v>2.8433870771432435E-2</v>
      </c>
      <c r="F28" s="11" t="s">
        <v>143</v>
      </c>
      <c r="G28" s="10">
        <v>-2.3540382862818929</v>
      </c>
      <c r="H28" s="12">
        <f t="shared" si="1"/>
        <v>-2.3540382862818929E-2</v>
      </c>
    </row>
    <row r="29" spans="2:8" x14ac:dyDescent="0.2">
      <c r="B29" s="9" t="s">
        <v>218</v>
      </c>
      <c r="C29" s="10">
        <v>2.7046177195658769</v>
      </c>
      <c r="D29" s="10">
        <f t="shared" si="0"/>
        <v>2.7046177195658768E-2</v>
      </c>
      <c r="F29" s="11" t="s">
        <v>144</v>
      </c>
      <c r="G29" s="10">
        <v>-2.3165984967731266</v>
      </c>
      <c r="H29" s="12">
        <f t="shared" si="1"/>
        <v>-2.3165984967731267E-2</v>
      </c>
    </row>
    <row r="30" spans="2:8" x14ac:dyDescent="0.2">
      <c r="B30" s="9" t="s">
        <v>219</v>
      </c>
      <c r="C30" s="10">
        <v>2.3384310105678714</v>
      </c>
      <c r="D30" s="10">
        <f t="shared" si="0"/>
        <v>2.3384310105678714E-2</v>
      </c>
      <c r="F30" s="11" t="s">
        <v>145</v>
      </c>
      <c r="G30" s="10">
        <v>-2.2906035669978437</v>
      </c>
      <c r="H30" s="12">
        <f t="shared" si="1"/>
        <v>-2.2906035669978439E-2</v>
      </c>
    </row>
    <row r="31" spans="2:8" x14ac:dyDescent="0.2">
      <c r="B31" s="9" t="s">
        <v>220</v>
      </c>
      <c r="C31" s="10">
        <v>2.2703685525546646</v>
      </c>
      <c r="D31" s="10">
        <f t="shared" si="0"/>
        <v>2.2703685525546646E-2</v>
      </c>
      <c r="F31" s="11" t="s">
        <v>146</v>
      </c>
      <c r="G31" s="10">
        <v>-2.2171344338401728</v>
      </c>
      <c r="H31" s="12">
        <f t="shared" si="1"/>
        <v>-2.2171344338401729E-2</v>
      </c>
    </row>
    <row r="32" spans="2:8" x14ac:dyDescent="0.2">
      <c r="B32" s="9" t="s">
        <v>221</v>
      </c>
      <c r="C32" s="10">
        <v>2.2584248608532977</v>
      </c>
      <c r="D32" s="10">
        <f t="shared" si="0"/>
        <v>2.2584248608532979E-2</v>
      </c>
      <c r="F32" s="11" t="s">
        <v>147</v>
      </c>
      <c r="G32" s="10">
        <v>-2.0650361555785475</v>
      </c>
      <c r="H32" s="12">
        <f t="shared" si="1"/>
        <v>-2.0650361555785476E-2</v>
      </c>
    </row>
    <row r="33" spans="2:8" x14ac:dyDescent="0.2">
      <c r="B33" s="9" t="s">
        <v>222</v>
      </c>
      <c r="C33" s="10">
        <v>2.2387676595398327</v>
      </c>
      <c r="D33" s="10">
        <f t="shared" si="0"/>
        <v>2.2387676595398327E-2</v>
      </c>
      <c r="F33" s="11" t="s">
        <v>148</v>
      </c>
      <c r="G33" s="10">
        <v>-1.9827602150565788</v>
      </c>
      <c r="H33" s="12">
        <f t="shared" si="1"/>
        <v>-1.9827602150565789E-2</v>
      </c>
    </row>
    <row r="34" spans="2:8" x14ac:dyDescent="0.2">
      <c r="B34" s="9" t="s">
        <v>223</v>
      </c>
      <c r="C34" s="10">
        <v>2.1941851726367463</v>
      </c>
      <c r="D34" s="10">
        <f t="shared" si="0"/>
        <v>2.1941851726367465E-2</v>
      </c>
      <c r="F34" s="11" t="s">
        <v>149</v>
      </c>
      <c r="G34" s="10">
        <v>-1.9602637021482971</v>
      </c>
      <c r="H34" s="12">
        <f t="shared" si="1"/>
        <v>-1.9602637021482971E-2</v>
      </c>
    </row>
    <row r="35" spans="2:8" x14ac:dyDescent="0.2">
      <c r="B35" s="9" t="s">
        <v>224</v>
      </c>
      <c r="C35" s="10">
        <v>2.1727092295605615</v>
      </c>
      <c r="D35" s="10">
        <f t="shared" si="0"/>
        <v>2.1727092295605613E-2</v>
      </c>
      <c r="F35" s="11" t="s">
        <v>150</v>
      </c>
      <c r="G35" s="10">
        <v>-1.8487967456276129</v>
      </c>
      <c r="H35" s="12">
        <f t="shared" si="1"/>
        <v>-1.8487967456276129E-2</v>
      </c>
    </row>
    <row r="36" spans="2:8" x14ac:dyDescent="0.2">
      <c r="B36" s="9" t="s">
        <v>225</v>
      </c>
      <c r="C36" s="10">
        <v>2.0087638619867709</v>
      </c>
      <c r="D36" s="10">
        <f t="shared" si="0"/>
        <v>2.0087638619867711E-2</v>
      </c>
      <c r="F36" s="11" t="s">
        <v>151</v>
      </c>
      <c r="G36" s="10">
        <v>-1.7851622624583465</v>
      </c>
      <c r="H36" s="12">
        <f t="shared" si="1"/>
        <v>-1.7851622624583466E-2</v>
      </c>
    </row>
    <row r="37" spans="2:8" x14ac:dyDescent="0.2">
      <c r="B37" s="9" t="s">
        <v>226</v>
      </c>
      <c r="C37" s="10">
        <v>1.8923947547785789</v>
      </c>
      <c r="D37" s="10">
        <f t="shared" si="0"/>
        <v>1.8923947547785789E-2</v>
      </c>
      <c r="F37" s="11" t="s">
        <v>152</v>
      </c>
      <c r="G37" s="10">
        <v>-1.7103975527725646</v>
      </c>
      <c r="H37" s="12">
        <f t="shared" si="1"/>
        <v>-1.7103975527725645E-2</v>
      </c>
    </row>
    <row r="38" spans="2:8" x14ac:dyDescent="0.2">
      <c r="B38" s="9" t="s">
        <v>227</v>
      </c>
      <c r="C38" s="10">
        <v>1.8376374279430556</v>
      </c>
      <c r="D38" s="10">
        <f t="shared" si="0"/>
        <v>1.8376374279430556E-2</v>
      </c>
      <c r="F38" s="11" t="s">
        <v>153</v>
      </c>
      <c r="G38" s="10">
        <v>-1.5565238467242555</v>
      </c>
      <c r="H38" s="12">
        <f t="shared" si="1"/>
        <v>-1.5565238467242554E-2</v>
      </c>
    </row>
    <row r="39" spans="2:8" x14ac:dyDescent="0.2">
      <c r="B39" s="9" t="s">
        <v>228</v>
      </c>
      <c r="C39" s="10">
        <v>1.8052287869531423</v>
      </c>
      <c r="D39" s="10">
        <f t="shared" si="0"/>
        <v>1.8052287869531423E-2</v>
      </c>
      <c r="F39" s="11" t="s">
        <v>154</v>
      </c>
      <c r="G39" s="10">
        <v>-1.546089004395887</v>
      </c>
      <c r="H39" s="12">
        <f t="shared" si="1"/>
        <v>-1.5460890043958871E-2</v>
      </c>
    </row>
    <row r="40" spans="2:8" x14ac:dyDescent="0.2">
      <c r="B40" s="9" t="s">
        <v>229</v>
      </c>
      <c r="C40" s="10">
        <v>1.7885051185863587</v>
      </c>
      <c r="D40" s="10">
        <f t="shared" si="0"/>
        <v>1.7885051185863587E-2</v>
      </c>
      <c r="F40" s="11" t="s">
        <v>155</v>
      </c>
      <c r="G40" s="10">
        <v>-1.5430879921263745</v>
      </c>
      <c r="H40" s="12">
        <f t="shared" si="1"/>
        <v>-1.5430879921263746E-2</v>
      </c>
    </row>
    <row r="41" spans="2:8" x14ac:dyDescent="0.2">
      <c r="B41" s="9" t="s">
        <v>230</v>
      </c>
      <c r="C41" s="10">
        <v>1.1734697487598551</v>
      </c>
      <c r="D41" s="10">
        <f t="shared" si="0"/>
        <v>1.1734697487598551E-2</v>
      </c>
      <c r="F41" s="11" t="s">
        <v>156</v>
      </c>
      <c r="G41" s="10">
        <v>-1.4811772286335634</v>
      </c>
      <c r="H41" s="12">
        <f t="shared" si="1"/>
        <v>-1.4811772286335633E-2</v>
      </c>
    </row>
    <row r="42" spans="2:8" x14ac:dyDescent="0.2">
      <c r="B42" s="9" t="s">
        <v>231</v>
      </c>
      <c r="C42" s="10">
        <v>1.1247678708981241</v>
      </c>
      <c r="D42" s="10">
        <f t="shared" si="0"/>
        <v>1.1247678708981241E-2</v>
      </c>
      <c r="F42" s="11" t="s">
        <v>157</v>
      </c>
      <c r="G42" s="10">
        <v>-1.3918029071695248</v>
      </c>
      <c r="H42" s="12">
        <f t="shared" si="1"/>
        <v>-1.3918029071695249E-2</v>
      </c>
    </row>
    <row r="43" spans="2:8" x14ac:dyDescent="0.2">
      <c r="B43" s="9" t="s">
        <v>232</v>
      </c>
      <c r="C43" s="10">
        <v>0.97437978627921507</v>
      </c>
      <c r="D43" s="10">
        <f t="shared" si="0"/>
        <v>9.7437978627921504E-3</v>
      </c>
      <c r="F43" s="11" t="s">
        <v>158</v>
      </c>
      <c r="G43" s="10">
        <v>-1.3439701619380315</v>
      </c>
      <c r="H43" s="12">
        <f t="shared" ref="H43:H74" si="2">IF(F43="","",G43/100)</f>
        <v>-1.3439701619380316E-2</v>
      </c>
    </row>
    <row r="44" spans="2:8" x14ac:dyDescent="0.2">
      <c r="B44" s="9" t="s">
        <v>233</v>
      </c>
      <c r="C44" s="10">
        <v>0.95525050810167356</v>
      </c>
      <c r="D44" s="10">
        <f t="shared" si="0"/>
        <v>9.5525050810167361E-3</v>
      </c>
      <c r="F44" s="11" t="s">
        <v>159</v>
      </c>
      <c r="G44" s="10">
        <v>-1.3329396474390769</v>
      </c>
      <c r="H44" s="12">
        <f t="shared" si="2"/>
        <v>-1.3329396474390768E-2</v>
      </c>
    </row>
    <row r="45" spans="2:8" x14ac:dyDescent="0.2">
      <c r="B45" s="9" t="s">
        <v>234</v>
      </c>
      <c r="C45" s="10">
        <v>0.86489775821718662</v>
      </c>
      <c r="D45" s="10">
        <f t="shared" si="0"/>
        <v>8.6489775821718667E-3</v>
      </c>
      <c r="F45" s="11" t="s">
        <v>160</v>
      </c>
      <c r="G45" s="10">
        <v>-1.302842523119903</v>
      </c>
      <c r="H45" s="12">
        <f t="shared" si="2"/>
        <v>-1.302842523119903E-2</v>
      </c>
    </row>
    <row r="46" spans="2:8" x14ac:dyDescent="0.2">
      <c r="B46" s="9" t="s">
        <v>235</v>
      </c>
      <c r="C46" s="10">
        <v>0.78258783268582433</v>
      </c>
      <c r="D46" s="10">
        <f t="shared" si="0"/>
        <v>7.8258783268582433E-3</v>
      </c>
      <c r="F46" s="11" t="s">
        <v>161</v>
      </c>
      <c r="G46" s="10">
        <v>-1.2861151014962608</v>
      </c>
      <c r="H46" s="12">
        <f t="shared" si="2"/>
        <v>-1.2861151014962609E-2</v>
      </c>
    </row>
    <row r="47" spans="2:8" x14ac:dyDescent="0.2">
      <c r="B47" s="9" t="s">
        <v>236</v>
      </c>
      <c r="C47" s="10">
        <v>0.7564468353401671</v>
      </c>
      <c r="D47" s="10">
        <f t="shared" si="0"/>
        <v>7.5644683534016712E-3</v>
      </c>
      <c r="F47" s="11" t="s">
        <v>162</v>
      </c>
      <c r="G47" s="10">
        <v>-1.2512477732885505</v>
      </c>
      <c r="H47" s="12">
        <f t="shared" si="2"/>
        <v>-1.2512477732885505E-2</v>
      </c>
    </row>
    <row r="48" spans="2:8" x14ac:dyDescent="0.2">
      <c r="B48" s="9" t="s">
        <v>237</v>
      </c>
      <c r="C48" s="10">
        <v>0.51170005183948308</v>
      </c>
      <c r="D48" s="10">
        <f t="shared" si="0"/>
        <v>5.1170005183948306E-3</v>
      </c>
      <c r="F48" s="11" t="s">
        <v>163</v>
      </c>
      <c r="G48" s="10">
        <v>-1.245197897856299</v>
      </c>
      <c r="H48" s="12">
        <f t="shared" si="2"/>
        <v>-1.245197897856299E-2</v>
      </c>
    </row>
    <row r="49" spans="2:8" x14ac:dyDescent="0.2">
      <c r="B49" s="9" t="s">
        <v>238</v>
      </c>
      <c r="C49" s="10">
        <v>0.4816872103436059</v>
      </c>
      <c r="D49" s="10">
        <f t="shared" si="0"/>
        <v>4.816872103436059E-3</v>
      </c>
      <c r="F49" s="11" t="s">
        <v>164</v>
      </c>
      <c r="G49" s="10">
        <v>-1.1713001457601533</v>
      </c>
      <c r="H49" s="12">
        <f t="shared" si="2"/>
        <v>-1.1713001457601534E-2</v>
      </c>
    </row>
    <row r="50" spans="2:8" x14ac:dyDescent="0.2">
      <c r="B50" s="9" t="s">
        <v>239</v>
      </c>
      <c r="C50" s="10">
        <v>0.2768825325933561</v>
      </c>
      <c r="D50" s="10">
        <f t="shared" si="0"/>
        <v>2.7688253259335609E-3</v>
      </c>
      <c r="F50" s="11" t="s">
        <v>165</v>
      </c>
      <c r="G50" s="10">
        <v>-1.1605663203932066</v>
      </c>
      <c r="H50" s="12">
        <f t="shared" si="2"/>
        <v>-1.1605663203932066E-2</v>
      </c>
    </row>
    <row r="51" spans="2:8" x14ac:dyDescent="0.2">
      <c r="B51" s="9" t="s">
        <v>13</v>
      </c>
      <c r="C51" s="10">
        <v>0.22678088016471215</v>
      </c>
      <c r="D51" s="10">
        <f t="shared" si="0"/>
        <v>2.2678088016471216E-3</v>
      </c>
      <c r="F51" s="11" t="s">
        <v>166</v>
      </c>
      <c r="G51" s="10">
        <v>-1.1509750922079443</v>
      </c>
      <c r="H51" s="12">
        <f t="shared" si="2"/>
        <v>-1.1509750922079443E-2</v>
      </c>
    </row>
    <row r="52" spans="2:8" x14ac:dyDescent="0.2">
      <c r="B52" s="9"/>
      <c r="C52" s="11"/>
      <c r="D52" s="11"/>
      <c r="F52" s="11" t="s">
        <v>167</v>
      </c>
      <c r="G52" s="10">
        <v>-1.0709084280107859</v>
      </c>
      <c r="H52" s="12">
        <f t="shared" si="2"/>
        <v>-1.0709084280107859E-2</v>
      </c>
    </row>
    <row r="53" spans="2:8" x14ac:dyDescent="0.2">
      <c r="F53" s="11" t="s">
        <v>168</v>
      </c>
      <c r="G53" s="10">
        <v>-1.0610580769480413</v>
      </c>
      <c r="H53" s="12">
        <f t="shared" si="2"/>
        <v>-1.0610580769480413E-2</v>
      </c>
    </row>
    <row r="54" spans="2:8" x14ac:dyDescent="0.2">
      <c r="F54" s="11" t="s">
        <v>169</v>
      </c>
      <c r="G54" s="10">
        <v>-1.0207023736332841</v>
      </c>
      <c r="H54" s="12">
        <f t="shared" si="2"/>
        <v>-1.0207023736332841E-2</v>
      </c>
    </row>
    <row r="55" spans="2:8" x14ac:dyDescent="0.2">
      <c r="F55" s="11" t="s">
        <v>170</v>
      </c>
      <c r="G55" s="10">
        <v>-0.98033362007491975</v>
      </c>
      <c r="H55" s="12">
        <f t="shared" si="2"/>
        <v>-9.8033362007491978E-3</v>
      </c>
    </row>
    <row r="56" spans="2:8" x14ac:dyDescent="0.2">
      <c r="F56" s="11" t="s">
        <v>171</v>
      </c>
      <c r="G56" s="10">
        <v>-0.9644062055724083</v>
      </c>
      <c r="H56" s="12">
        <f t="shared" si="2"/>
        <v>-9.6440620557240835E-3</v>
      </c>
    </row>
    <row r="57" spans="2:8" x14ac:dyDescent="0.2">
      <c r="D57" s="1"/>
      <c r="F57" s="11" t="s">
        <v>172</v>
      </c>
      <c r="G57" s="10">
        <v>-0.92358035363769697</v>
      </c>
      <c r="H57" s="12">
        <f t="shared" si="2"/>
        <v>-9.2358035363769696E-3</v>
      </c>
    </row>
    <row r="58" spans="2:8" x14ac:dyDescent="0.2">
      <c r="D58" s="1"/>
      <c r="F58" s="11" t="s">
        <v>173</v>
      </c>
      <c r="G58" s="10">
        <v>-0.91996570803856947</v>
      </c>
      <c r="H58" s="12">
        <f t="shared" si="2"/>
        <v>-9.1996570803856946E-3</v>
      </c>
    </row>
    <row r="59" spans="2:8" x14ac:dyDescent="0.2">
      <c r="D59" s="1"/>
      <c r="F59" s="11" t="s">
        <v>174</v>
      </c>
      <c r="G59" s="10">
        <v>-0.89122288634373958</v>
      </c>
      <c r="H59" s="12">
        <f t="shared" si="2"/>
        <v>-8.9122288634373957E-3</v>
      </c>
    </row>
    <row r="60" spans="2:8" x14ac:dyDescent="0.2">
      <c r="D60" s="1"/>
      <c r="F60" s="11" t="s">
        <v>175</v>
      </c>
      <c r="G60" s="10">
        <v>-0.88366122175361306</v>
      </c>
      <c r="H60" s="12">
        <f t="shared" si="2"/>
        <v>-8.8366122175361304E-3</v>
      </c>
    </row>
    <row r="61" spans="2:8" x14ac:dyDescent="0.2">
      <c r="D61" s="1"/>
      <c r="F61" s="11" t="s">
        <v>176</v>
      </c>
      <c r="G61" s="10">
        <v>-0.85920520117370169</v>
      </c>
      <c r="H61" s="12">
        <f t="shared" si="2"/>
        <v>-8.5920520117370169E-3</v>
      </c>
    </row>
    <row r="62" spans="2:8" x14ac:dyDescent="0.2">
      <c r="D62" s="1"/>
      <c r="F62" s="11" t="s">
        <v>177</v>
      </c>
      <c r="G62" s="10">
        <v>-0.83451957787032593</v>
      </c>
      <c r="H62" s="12">
        <f t="shared" si="2"/>
        <v>-8.3451957787032596E-3</v>
      </c>
    </row>
    <row r="63" spans="2:8" x14ac:dyDescent="0.2">
      <c r="D63" s="1"/>
      <c r="F63" s="11" t="s">
        <v>178</v>
      </c>
      <c r="G63" s="10">
        <v>-0.78195496384089247</v>
      </c>
      <c r="H63" s="12">
        <f t="shared" si="2"/>
        <v>-7.819549638408925E-3</v>
      </c>
    </row>
    <row r="64" spans="2:8" x14ac:dyDescent="0.2">
      <c r="D64" s="1"/>
      <c r="F64" s="11" t="s">
        <v>179</v>
      </c>
      <c r="G64" s="10">
        <v>-0.75481416200005946</v>
      </c>
      <c r="H64" s="12">
        <f t="shared" si="2"/>
        <v>-7.5481416200005947E-3</v>
      </c>
    </row>
    <row r="65" spans="4:8" x14ac:dyDescent="0.2">
      <c r="D65" s="1"/>
      <c r="F65" s="11" t="s">
        <v>180</v>
      </c>
      <c r="G65" s="10">
        <v>-0.72745198081567264</v>
      </c>
      <c r="H65" s="12">
        <f t="shared" si="2"/>
        <v>-7.2745198081567266E-3</v>
      </c>
    </row>
    <row r="66" spans="4:8" x14ac:dyDescent="0.2">
      <c r="D66" s="1"/>
      <c r="F66" s="11" t="s">
        <v>181</v>
      </c>
      <c r="G66" s="10">
        <v>-0.67829021780682441</v>
      </c>
      <c r="H66" s="12">
        <f t="shared" si="2"/>
        <v>-6.7829021780682446E-3</v>
      </c>
    </row>
    <row r="67" spans="4:8" x14ac:dyDescent="0.2">
      <c r="D67" s="1"/>
      <c r="F67" s="11" t="s">
        <v>182</v>
      </c>
      <c r="G67" s="10">
        <v>-0.6310523461797608</v>
      </c>
      <c r="H67" s="12">
        <f t="shared" si="2"/>
        <v>-6.3105234617976081E-3</v>
      </c>
    </row>
    <row r="68" spans="4:8" x14ac:dyDescent="0.2">
      <c r="D68" s="1"/>
      <c r="F68" s="11" t="s">
        <v>183</v>
      </c>
      <c r="G68" s="10">
        <v>-0.63061754196957609</v>
      </c>
      <c r="H68" s="12">
        <f t="shared" si="2"/>
        <v>-6.3061754196957606E-3</v>
      </c>
    </row>
    <row r="69" spans="4:8" x14ac:dyDescent="0.2">
      <c r="D69" s="1"/>
      <c r="F69" s="11" t="s">
        <v>184</v>
      </c>
      <c r="G69" s="10">
        <v>-0.59477531978239451</v>
      </c>
      <c r="H69" s="12">
        <f t="shared" si="2"/>
        <v>-5.9477531978239448E-3</v>
      </c>
    </row>
    <row r="70" spans="4:8" x14ac:dyDescent="0.2">
      <c r="D70" s="1"/>
      <c r="F70" s="11" t="s">
        <v>185</v>
      </c>
      <c r="G70" s="10">
        <v>-0.56071187298688574</v>
      </c>
      <c r="H70" s="12">
        <f t="shared" si="2"/>
        <v>-5.6071187298688575E-3</v>
      </c>
    </row>
    <row r="71" spans="4:8" x14ac:dyDescent="0.2">
      <c r="D71" s="1"/>
      <c r="F71" s="11" t="s">
        <v>186</v>
      </c>
      <c r="G71" s="10">
        <v>-0.56007034541067402</v>
      </c>
      <c r="H71" s="12">
        <f t="shared" si="2"/>
        <v>-5.6007034541067403E-3</v>
      </c>
    </row>
    <row r="72" spans="4:8" x14ac:dyDescent="0.2">
      <c r="D72" s="1"/>
      <c r="F72" s="11" t="s">
        <v>187</v>
      </c>
      <c r="G72" s="10">
        <v>-0.49515880009730046</v>
      </c>
      <c r="H72" s="12">
        <f t="shared" si="2"/>
        <v>-4.9515880009730045E-3</v>
      </c>
    </row>
    <row r="73" spans="4:8" x14ac:dyDescent="0.2">
      <c r="D73" s="1"/>
      <c r="F73" s="11" t="s">
        <v>188</v>
      </c>
      <c r="G73" s="10">
        <v>-0.48492530203864975</v>
      </c>
      <c r="H73" s="12">
        <f t="shared" si="2"/>
        <v>-4.8492530203864976E-3</v>
      </c>
    </row>
    <row r="74" spans="4:8" x14ac:dyDescent="0.2">
      <c r="D74" s="1"/>
      <c r="F74" s="11" t="s">
        <v>189</v>
      </c>
      <c r="G74" s="10">
        <v>-0.46923884125274068</v>
      </c>
      <c r="H74" s="12">
        <f t="shared" si="2"/>
        <v>-4.6923884125274068E-3</v>
      </c>
    </row>
    <row r="75" spans="4:8" x14ac:dyDescent="0.2">
      <c r="D75" s="1"/>
      <c r="F75" s="11" t="s">
        <v>190</v>
      </c>
      <c r="G75" s="10">
        <v>-0.46173053312736234</v>
      </c>
      <c r="H75" s="12">
        <f t="shared" ref="H75:H106" si="3">IF(F75="","",G75/100)</f>
        <v>-4.6173053312736235E-3</v>
      </c>
    </row>
    <row r="76" spans="4:8" x14ac:dyDescent="0.2">
      <c r="D76" s="1"/>
      <c r="F76" s="11" t="s">
        <v>191</v>
      </c>
      <c r="G76" s="10">
        <v>-0.44554891075458514</v>
      </c>
      <c r="H76" s="12">
        <f t="shared" si="3"/>
        <v>-4.4554891075458515E-3</v>
      </c>
    </row>
    <row r="77" spans="4:8" x14ac:dyDescent="0.2">
      <c r="D77" s="1"/>
      <c r="F77" s="11" t="s">
        <v>192</v>
      </c>
      <c r="G77" s="10">
        <v>-0.35606298251969726</v>
      </c>
      <c r="H77" s="12">
        <f t="shared" si="3"/>
        <v>-3.5606298251969724E-3</v>
      </c>
    </row>
    <row r="78" spans="4:8" x14ac:dyDescent="0.2">
      <c r="D78" s="1"/>
      <c r="F78" s="11" t="s">
        <v>193</v>
      </c>
      <c r="G78" s="10">
        <v>-0.34449675752917985</v>
      </c>
      <c r="H78" s="12">
        <f t="shared" si="3"/>
        <v>-3.4449675752917987E-3</v>
      </c>
    </row>
    <row r="79" spans="4:8" x14ac:dyDescent="0.2">
      <c r="D79" s="1"/>
      <c r="F79" s="11" t="s">
        <v>194</v>
      </c>
      <c r="G79" s="10">
        <v>-0.27875728165155722</v>
      </c>
      <c r="H79" s="12">
        <f t="shared" si="3"/>
        <v>-2.787572816515572E-3</v>
      </c>
    </row>
    <row r="80" spans="4:8" x14ac:dyDescent="0.2">
      <c r="D80" s="1"/>
      <c r="F80" s="11" t="s">
        <v>195</v>
      </c>
      <c r="G80" s="10">
        <v>-0.24921887088681788</v>
      </c>
      <c r="H80" s="12">
        <f t="shared" si="3"/>
        <v>-2.4921887088681788E-3</v>
      </c>
    </row>
    <row r="81" spans="4:8" x14ac:dyDescent="0.2">
      <c r="D81" s="1"/>
      <c r="F81" s="11" t="s">
        <v>196</v>
      </c>
      <c r="G81" s="10">
        <v>-0.23320955251166742</v>
      </c>
      <c r="H81" s="12">
        <f t="shared" si="3"/>
        <v>-2.3320955251166743E-3</v>
      </c>
    </row>
    <row r="82" spans="4:8" x14ac:dyDescent="0.2">
      <c r="D82" s="1"/>
      <c r="F82" s="11" t="s">
        <v>197</v>
      </c>
      <c r="G82" s="10">
        <v>-0.23178456106778422</v>
      </c>
      <c r="H82" s="12">
        <f t="shared" si="3"/>
        <v>-2.3178456106778423E-3</v>
      </c>
    </row>
    <row r="83" spans="4:8" x14ac:dyDescent="0.2">
      <c r="D83" s="1"/>
      <c r="F83" s="11" t="s">
        <v>198</v>
      </c>
      <c r="G83" s="10">
        <v>-0.23062227374651528</v>
      </c>
      <c r="H83" s="12">
        <f t="shared" si="3"/>
        <v>-2.3062227374651529E-3</v>
      </c>
    </row>
    <row r="84" spans="4:8" x14ac:dyDescent="0.2">
      <c r="D84" s="1"/>
      <c r="F84" s="11" t="s">
        <v>199</v>
      </c>
      <c r="G84" s="10">
        <v>-0.2198304019835241</v>
      </c>
      <c r="H84" s="12">
        <f t="shared" si="3"/>
        <v>-2.198304019835241E-3</v>
      </c>
    </row>
    <row r="85" spans="4:8" x14ac:dyDescent="0.2">
      <c r="D85" s="1"/>
      <c r="F85" s="11" t="s">
        <v>14</v>
      </c>
      <c r="G85" s="10">
        <v>-0.17906361599513917</v>
      </c>
      <c r="H85" s="12">
        <f t="shared" si="3"/>
        <v>-1.7906361599513917E-3</v>
      </c>
    </row>
    <row r="86" spans="4:8" x14ac:dyDescent="0.2">
      <c r="D86" s="1"/>
      <c r="F86" s="11"/>
      <c r="G86" s="11"/>
      <c r="H86" s="13"/>
    </row>
    <row r="87" spans="4:8" x14ac:dyDescent="0.2">
      <c r="D87" s="1"/>
    </row>
    <row r="88" spans="4:8" x14ac:dyDescent="0.2">
      <c r="D88" s="1"/>
    </row>
    <row r="89" spans="4:8" x14ac:dyDescent="0.2">
      <c r="D89" s="1"/>
      <c r="G89" t="s">
        <v>5</v>
      </c>
    </row>
    <row r="90" spans="4:8" x14ac:dyDescent="0.2">
      <c r="D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D180" s="1"/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  <row r="208" spans="8:8" x14ac:dyDescent="0.2">
      <c r="H208" s="1"/>
    </row>
    <row r="209" spans="8:8" x14ac:dyDescent="0.2">
      <c r="H209" s="1"/>
    </row>
    <row r="210" spans="8:8" x14ac:dyDescent="0.2">
      <c r="H210" s="1"/>
    </row>
    <row r="211" spans="8:8" x14ac:dyDescent="0.2">
      <c r="H211" s="1"/>
    </row>
    <row r="212" spans="8:8" x14ac:dyDescent="0.2">
      <c r="H212" s="1"/>
    </row>
    <row r="213" spans="8:8" x14ac:dyDescent="0.2">
      <c r="H213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2026-07-15T14:12:18Z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{"begin":"7/14/2026", "end":"7/14/2026", "periodicity":"Weekday"}</vt:lpwstr>
  </property>
  <property fmtid="{D5CDD505-2E9C-101B-9397-08002B2CF9AE}" pid="10" name="filterspec">
    <vt:lpwstr/>
  </property>
  <property fmtid="{D5CDD505-2E9C-101B-9397-08002B2CF9AE}" pid="11" name="identifier">
    <vt:lpwstr>31b821c8</vt:lpwstr>
  </property>
  <property fmtid="{D5CDD505-2E9C-101B-9397-08002B2CF9AE}" pid="12" name="beaconPortfolio">
    <vt:lpwstr>LKP_MASTER__PORT_20260714233025</vt:lpwstr>
  </property>
</Properties>
</file>