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1A75269B-1B23-F14B-8C4D-A9235F379105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<sst xmlns="http://schemas.openxmlformats.org/spreadsheetml/2006/main" count="255" uniqueCount="224">
  <si>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</si>
  <si>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</si>
  <si>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</si>
  <si>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</si>
  <si>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</si>
  <si>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</si>
  <si>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</si>
  <si>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</si>
  <si>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STM</t>
  </si>
  <si>
    <t>SITM</t>
  </si>
  <si>
    <t>PUBP</t>
  </si>
  <si>
    <t/>
  </si>
  <si>
    <t>Manticore Master Fund</t>
  </si>
  <si>
    <t>DASH US 01/15/27 P150 OTC (DASH 1/15/27 P150 OTC)</t>
  </si>
  <si>
    <t>SITIME ORD (NMS)</t>
  </si>
  <si>
    <t>Instrument</t>
  </si>
  <si>
    <t>PUBLICIS GROUPE ORD (PAR) CFD</t>
  </si>
  <si>
    <t>CINTAS ORD (NMS)</t>
  </si>
  <si>
    <t>CTAS</t>
  </si>
  <si>
    <t>7751</t>
  </si>
  <si>
    <t>AAPL</t>
  </si>
  <si>
    <t>IBM</t>
  </si>
  <si>
    <t>HQY</t>
  </si>
  <si>
    <t>6098</t>
  </si>
  <si>
    <t>ADSK</t>
  </si>
  <si>
    <t>LAMR</t>
  </si>
  <si>
    <t>NOW</t>
  </si>
  <si>
    <t>GEV</t>
  </si>
  <si>
    <t>CSU</t>
  </si>
  <si>
    <t>EXPE</t>
  </si>
  <si>
    <t>WSM</t>
  </si>
  <si>
    <t>LOGI</t>
  </si>
  <si>
    <t>GRMN</t>
  </si>
  <si>
    <t>ARMK</t>
  </si>
  <si>
    <t>FICO</t>
  </si>
  <si>
    <t>EFX</t>
  </si>
  <si>
    <t>TEAM</t>
  </si>
  <si>
    <t>CRM</t>
  </si>
  <si>
    <t>8136</t>
  </si>
  <si>
    <t>VRSK</t>
  </si>
  <si>
    <t>EXLS</t>
  </si>
  <si>
    <t>MANH</t>
  </si>
  <si>
    <t>BBY</t>
  </si>
  <si>
    <t>PINS</t>
  </si>
  <si>
    <t>IT</t>
  </si>
  <si>
    <t>ACN</t>
  </si>
  <si>
    <t>FNF</t>
  </si>
  <si>
    <t>REA</t>
  </si>
  <si>
    <t>ADBE</t>
  </si>
  <si>
    <t>COIN</t>
  </si>
  <si>
    <t>FOXA</t>
  </si>
  <si>
    <t>DUOL</t>
  </si>
  <si>
    <t>IOT</t>
  </si>
  <si>
    <t>ANET</t>
  </si>
  <si>
    <t>ALAB</t>
  </si>
  <si>
    <t>EBAY</t>
  </si>
  <si>
    <t>RNG</t>
  </si>
  <si>
    <t>RHI</t>
  </si>
  <si>
    <t>FAF</t>
  </si>
  <si>
    <t>BWA</t>
  </si>
  <si>
    <t>LOPE</t>
  </si>
  <si>
    <t>CARG</t>
  </si>
  <si>
    <t>CHH</t>
  </si>
  <si>
    <t>SYF</t>
  </si>
  <si>
    <t>SYM</t>
  </si>
  <si>
    <t>GLW</t>
  </si>
  <si>
    <t>SOFI</t>
  </si>
  <si>
    <t>NYT</t>
  </si>
  <si>
    <t>CIEN</t>
  </si>
  <si>
    <t>DOCN</t>
  </si>
  <si>
    <t>QLYS</t>
  </si>
  <si>
    <t>HRB</t>
  </si>
  <si>
    <t>META</t>
  </si>
  <si>
    <t>BFH</t>
  </si>
  <si>
    <t>CRWV</t>
  </si>
  <si>
    <t>CVSA</t>
  </si>
  <si>
    <t>CHYM</t>
  </si>
  <si>
    <t>SEZL</t>
  </si>
  <si>
    <t>SLM</t>
  </si>
  <si>
    <t>3034</t>
  </si>
  <si>
    <t>ESLT</t>
  </si>
  <si>
    <t>CNXC</t>
  </si>
  <si>
    <t>DAVE</t>
  </si>
  <si>
    <t>TEPRF</t>
  </si>
  <si>
    <t>OPEN</t>
  </si>
  <si>
    <t>XYZ</t>
  </si>
  <si>
    <t>TRMB</t>
  </si>
  <si>
    <t>IRM</t>
  </si>
  <si>
    <t>ETN</t>
  </si>
  <si>
    <t>TSM</t>
  </si>
  <si>
    <t>W</t>
  </si>
  <si>
    <t>005930</t>
  </si>
  <si>
    <t>GOOG</t>
  </si>
  <si>
    <t>RACE</t>
  </si>
  <si>
    <t>LYFT</t>
  </si>
  <si>
    <t>GLBE</t>
  </si>
  <si>
    <t>TSLA</t>
  </si>
  <si>
    <t>AG1G</t>
  </si>
  <si>
    <t>6857</t>
  </si>
  <si>
    <t>HPE</t>
  </si>
  <si>
    <t>ZETA</t>
  </si>
  <si>
    <t>PCOR</t>
  </si>
  <si>
    <t>AMZN</t>
  </si>
  <si>
    <t>APP</t>
  </si>
  <si>
    <t>ZBRA</t>
  </si>
  <si>
    <t>NOD</t>
  </si>
  <si>
    <t>SAPG</t>
  </si>
  <si>
    <t>AMAT</t>
  </si>
  <si>
    <t>Z</t>
  </si>
  <si>
    <t>CART</t>
  </si>
  <si>
    <t>DASH</t>
  </si>
  <si>
    <t>CHKP</t>
  </si>
  <si>
    <t>SPHR</t>
  </si>
  <si>
    <t>TER</t>
  </si>
  <si>
    <t>SHOP</t>
  </si>
  <si>
    <t>ACM</t>
  </si>
  <si>
    <t>UBER</t>
  </si>
  <si>
    <t>RRX</t>
  </si>
  <si>
    <t>RBLX</t>
  </si>
  <si>
    <t>LION</t>
  </si>
  <si>
    <t>CANON ORD (TYO) CFD</t>
  </si>
  <si>
    <t>APPLE ORD (NMS)</t>
  </si>
  <si>
    <t>INTERNATIONAL BUSINESS MACHINES ORD (NYS)</t>
  </si>
  <si>
    <t>HEALTHEQUITY ORD (NMS)</t>
  </si>
  <si>
    <t>RECRUIT HOLDINGS CO LTD (TYO) CFD</t>
  </si>
  <si>
    <t>AUTODESK ORD (NMS)</t>
  </si>
  <si>
    <t>LAMAR ADVERTISING CL A REIT (NMS)</t>
  </si>
  <si>
    <t>SERVICENOW ORD (NYS)</t>
  </si>
  <si>
    <t>GE VERNOVA ORD (NYS)</t>
  </si>
  <si>
    <t>CONSTELLATION SOFTWARE ORD (TOR)</t>
  </si>
  <si>
    <t>EXPEDIA GROUP ORD (NMS)</t>
  </si>
  <si>
    <t>WILLIAMS SONOMA ORD (NYS)</t>
  </si>
  <si>
    <t>LOGITECH N ORD (NMS)</t>
  </si>
  <si>
    <t>GARMIN ORD (NYS)</t>
  </si>
  <si>
    <t>ARAMARK ORD (NYS)</t>
  </si>
  <si>
    <t>FAIR ISAAC ORD (NYS)</t>
  </si>
  <si>
    <t>EQUIFAX ORD (NYS)</t>
  </si>
  <si>
    <t>ATLASSIAN CL A ORD (NMS)</t>
  </si>
  <si>
    <t>SALESFORCE ORD (NYS)</t>
  </si>
  <si>
    <t>SANRIO ORD (TYO) CFD</t>
  </si>
  <si>
    <t>VERISK ANALYTICS ORD (NMS)</t>
  </si>
  <si>
    <t>EXLSERVICE HOLDINGS ORD (NMS)</t>
  </si>
  <si>
    <t>MANHATTAN ASSOCIATES ORD (NMS)</t>
  </si>
  <si>
    <t>BEST BUY ORD (NYS)</t>
  </si>
  <si>
    <t>PINTEREST CL A ORD (NYS)</t>
  </si>
  <si>
    <t>GARTNER ORD (NYS)</t>
  </si>
  <si>
    <t>ACCENTURE CL A ORD (NYS)</t>
  </si>
  <si>
    <t>FIDELITY NATIONAL FINANCIAL ORD (NYS)</t>
  </si>
  <si>
    <t>REA GROUP ORD (ASX) CFD</t>
  </si>
  <si>
    <t>ADOBE ORD (NMS)</t>
  </si>
  <si>
    <t>COINBASE GLOBAL CL A ORD (NMS)</t>
  </si>
  <si>
    <t>FOX CL A ORD (NMS)</t>
  </si>
  <si>
    <t>DUOLINGO CL A ORD (NMS)</t>
  </si>
  <si>
    <t>SAMSARA CL A ORD (NYS)</t>
  </si>
  <si>
    <t>ARISTA NETWORKS ORD (NYS)</t>
  </si>
  <si>
    <t>ASTERA LABS ORD (NMS)</t>
  </si>
  <si>
    <t>EBAY ORD (NMS)</t>
  </si>
  <si>
    <t>RINGCENTRAL CL A ORD (NYS)</t>
  </si>
  <si>
    <t>ROBERT HALF ORD (NYS)</t>
  </si>
  <si>
    <t>FIRST AMERICAN FINANCIAL ORD (NYS)</t>
  </si>
  <si>
    <t>BORGWARNER ORD (NYS)</t>
  </si>
  <si>
    <t>GRAND CANYON EDUCATION ORD (NMS)</t>
  </si>
  <si>
    <t>META US 01/15/27 C720 OTC (META 1/15/27 C720 OTC)</t>
  </si>
  <si>
    <t>CARGURUS CL A ORD (NMS)</t>
  </si>
  <si>
    <t>CHOICE HOTELS INTERNATIONAL ORD (NYS)</t>
  </si>
  <si>
    <t>SYNCHRONY FINANCIAL ORD (NYS)</t>
  </si>
  <si>
    <t>SYMBOTIC CL A ORD (NMS)</t>
  </si>
  <si>
    <t>CORNING ORD (NYS)</t>
  </si>
  <si>
    <t>SOFI TECHNOLOGIES ORD (NMS)</t>
  </si>
  <si>
    <t>NEW YORK TIMES CL A ORD (NYS)</t>
  </si>
  <si>
    <t>CIENA ORD (NYS)</t>
  </si>
  <si>
    <t>DIGITALOCEAN HOLDINGS ORD (NYS)</t>
  </si>
  <si>
    <t>QUALYS ORD (NMS)</t>
  </si>
  <si>
    <t>H&amp;R BLOCK ORD (NYS)</t>
  </si>
  <si>
    <t>BREAD FINANCIAL HOLDINGS ORD (NYS)</t>
  </si>
  <si>
    <t>COREWEAVE CL A ORD (NMS)</t>
  </si>
  <si>
    <t>COVISTA ORD (NYS)</t>
  </si>
  <si>
    <t>CHIME FINANCIAL CL A ORD (NMS)</t>
  </si>
  <si>
    <t>SEZZLE INC (NMS)</t>
  </si>
  <si>
    <t>SLM ORD (NMS)</t>
  </si>
  <si>
    <t>NOVATEK MICROELE ORD (TAI) CFD_USD</t>
  </si>
  <si>
    <t>ELBIT SYSTEMS ORD (NMS)</t>
  </si>
  <si>
    <t>CONCENTRIX ORD (NMS)</t>
  </si>
  <si>
    <t>DAVE CL A ORD (NMS)</t>
  </si>
  <si>
    <t>TELEPERFORMANCE ORD (PAR) CFD</t>
  </si>
  <si>
    <t>OPENDOOR TECHNOLOGIES ORD (NMS)</t>
  </si>
  <si>
    <t>BLOCK CL A ORD (NYS)</t>
  </si>
  <si>
    <t>TRIMBLE ORD (NMS)</t>
  </si>
  <si>
    <t>IRON MOUNTAIN ORD (NYS)</t>
  </si>
  <si>
    <t>EATON ORD (NYS)</t>
  </si>
  <si>
    <t>TWN SEMICONT MAN ORD (TAI) CFD_USD</t>
  </si>
  <si>
    <t>WAYFAIR CL A ORD (NYS)</t>
  </si>
  <si>
    <t>SAMSUNG ELECTR ORD (KSC) CFD_USD</t>
  </si>
  <si>
    <t>ALPHABET CL A ORD (NMS)</t>
  </si>
  <si>
    <t>LYFT CL A ORD (NMS)</t>
  </si>
  <si>
    <t>GLOBAL E ONLINE ORD (NMS)</t>
  </si>
  <si>
    <t>TESLA ORD (NMS)</t>
  </si>
  <si>
    <t>AUTO1 GROUP ORD (GER)</t>
  </si>
  <si>
    <t>ADVANTEST ORD (TYO) CFD</t>
  </si>
  <si>
    <t>HEWLETT PACKARD ENTERPRISE ORD (NYS)</t>
  </si>
  <si>
    <t>ZETA GLOBAL HOLDINGS CL A ORD (NYS)</t>
  </si>
  <si>
    <t>PROCORE TECHNOLOGIES ORD (NYS)</t>
  </si>
  <si>
    <t>AMAZON COM ORD (NMS)</t>
  </si>
  <si>
    <t>APPLOVIN CL A ORD (NMS)</t>
  </si>
  <si>
    <t>ZEBRA TECHNOLOGIES CL A ORD (NMS)</t>
  </si>
  <si>
    <t>NORDIC SEMICONDUCTOR ORD (OSL)</t>
  </si>
  <si>
    <t>SAP ORD (GER)</t>
  </si>
  <si>
    <t>FERRARI ORD (NYS)</t>
  </si>
  <si>
    <t>APPLIED MATERIAL ORD (NMS)</t>
  </si>
  <si>
    <t>FERRARI ORD (MIL)</t>
  </si>
  <si>
    <t>ZILLOW GROUP CL C ORD (NMS)</t>
  </si>
  <si>
    <t>MAPLEBEAR ORD (NMS)</t>
  </si>
  <si>
    <t>CHECK POINT SOFTWARE TECHNOLOGIS ORD (NMS)</t>
  </si>
  <si>
    <t>SPHERE ENTERTAINMENT CL A ORD (NYS)</t>
  </si>
  <si>
    <t>TERADYNE ORD (NMS)</t>
  </si>
  <si>
    <t>SHOPIFY CL A SUB VTG ORD (NMS)</t>
  </si>
  <si>
    <t>DOORDASH CL A ORD (NMS)</t>
  </si>
  <si>
    <t>AECOM ORD (NYS)</t>
  </si>
  <si>
    <t>UBER TECHNOLOGIES INC. (NYS)</t>
  </si>
  <si>
    <t>REGAL REXNORD ORD (NYS)</t>
  </si>
  <si>
    <t>ROBLOX CL A ORD (NYS)</t>
  </si>
  <si>
    <t>LIONSGATE STUDIOS ORD (NYS)</t>
  </si>
  <si>
    <t>STMICROELECTRONICS ADR (NYS)</t>
  </si>
  <si>
    <t>META US 01/15/27 P620 OTC (META 1/15/27 P620 OTC)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</si>
</sst>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7"/>
  <sheetViews>
    <sheetView tabSelected="1" workbookViewId="0"/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85</v>
      </c>
      <c r="C11" s="10">
        <v>9.3330323861757591</v>
      </c>
      <c r="D11" s="10">
        <f t="shared" ref="D11:D46" si="0">IF(B11="","",(C11/100))</f>
        <v>9.3330323861757589E-2</v>
      </c>
      <c r="F11" s="11" t="s">
        <v>10</v>
      </c>
      <c r="G11" s="10">
        <v>-5.1912406363108454</v>
      </c>
      <c r="H11" s="12">
        <f t="shared" ref="H11:H42" si="1">IF(F11="","",G11/100)</f>
        <v>-5.1912406363108454E-2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86</v>
      </c>
      <c r="C12" s="10">
        <v>6.4045242162012643</v>
      </c>
      <c r="D12" s="10">
        <f t="shared" si="0"/>
        <v>6.4045242162012642E-2</v>
      </c>
      <c r="F12" s="11" t="s">
        <v>18</v>
      </c>
      <c r="G12" s="10">
        <v>-4.4074558610953831</v>
      </c>
      <c r="H12" s="12">
        <f t="shared" si="1"/>
        <v>-4.4074558610953829E-2</v>
      </c>
      <c r="K12" s="9"/>
      <c r="L12" s="11"/>
      <c r="M12" s="11"/>
      <c r="O12" s="11"/>
      <c r="P12" s="11"/>
      <c r="Q12" s="13"/>
    </row>
    <row r="13" spans="1:17" x14ac:dyDescent="0.2">
      <c r="B13" s="9" t="s">
        <v>87</v>
      </c>
      <c r="C13" s="10">
        <v>4.997669521653024</v>
      </c>
      <c r="D13" s="10">
        <f t="shared" si="0"/>
        <v>4.997669521653024E-2</v>
      </c>
      <c r="F13" s="11" t="s">
        <v>19</v>
      </c>
      <c r="G13" s="10">
        <v>-3.8199867307816526</v>
      </c>
      <c r="H13" s="12">
        <f t="shared" si="1"/>
        <v>-3.8199867307816528E-2</v>
      </c>
      <c r="I13" s="1"/>
    </row>
    <row r="14" spans="1:17" x14ac:dyDescent="0.2">
      <c r="B14" s="9" t="s">
        <v>88</v>
      </c>
      <c r="C14" s="10">
        <v>4.5228622884551761</v>
      </c>
      <c r="D14" s="10">
        <f t="shared" si="0"/>
        <v>4.5228622884551761E-2</v>
      </c>
      <c r="F14" s="11" t="s">
        <v>20</v>
      </c>
      <c r="G14" s="10">
        <v>-3.2871115750711666</v>
      </c>
      <c r="H14" s="12">
        <f t="shared" si="1"/>
        <v>-3.2871115750711666E-2</v>
      </c>
      <c r="I14" s="1"/>
    </row>
    <row r="15" spans="1:17" x14ac:dyDescent="0.2">
      <c r="B15" s="9" t="s">
        <v>89</v>
      </c>
      <c r="C15" s="10">
        <v>4.4962824334879059</v>
      </c>
      <c r="D15" s="10">
        <f t="shared" si="0"/>
        <v>4.496282433487906E-2</v>
      </c>
      <c r="F15" s="11" t="s">
        <v>21</v>
      </c>
      <c r="G15" s="10">
        <v>-3.0677890059608321</v>
      </c>
      <c r="H15" s="12">
        <f t="shared" si="1"/>
        <v>-3.0677890059608321E-2</v>
      </c>
      <c r="I15" s="1"/>
    </row>
    <row r="16" spans="1:17" x14ac:dyDescent="0.2">
      <c r="B16" s="9" t="s">
        <v>90</v>
      </c>
      <c r="C16" s="10">
        <v>4.4512791012972119</v>
      </c>
      <c r="D16" s="10">
        <f t="shared" si="0"/>
        <v>4.4512791012972119E-2</v>
      </c>
      <c r="F16" s="11" t="s">
        <v>22</v>
      </c>
      <c r="G16" s="10">
        <v>-3.0625077139746351</v>
      </c>
      <c r="H16" s="12">
        <f t="shared" si="1"/>
        <v>-3.062507713974635E-2</v>
      </c>
      <c r="I16" s="1"/>
    </row>
    <row r="17" spans="2:8" x14ac:dyDescent="0.2">
      <c r="B17" s="9" t="s">
        <v>91</v>
      </c>
      <c r="C17" s="10">
        <v>3.7796117220447774</v>
      </c>
      <c r="D17" s="10">
        <f t="shared" si="0"/>
        <v>3.7796117220447775E-2</v>
      </c>
      <c r="F17" s="11" t="s">
        <v>23</v>
      </c>
      <c r="G17" s="10">
        <v>-3.0616223426238007</v>
      </c>
      <c r="H17" s="12">
        <f t="shared" si="1"/>
        <v>-3.0616223426238008E-2</v>
      </c>
    </row>
    <row r="18" spans="2:8" x14ac:dyDescent="0.2">
      <c r="B18" s="9" t="s">
        <v>92</v>
      </c>
      <c r="C18" s="10">
        <v>3.7635363980862118</v>
      </c>
      <c r="D18" s="10">
        <f t="shared" si="0"/>
        <v>3.7635363980862119E-2</v>
      </c>
      <c r="F18" s="11" t="s">
        <v>24</v>
      </c>
      <c r="G18" s="10">
        <v>-2.8619239031503954</v>
      </c>
      <c r="H18" s="12">
        <f t="shared" si="1"/>
        <v>-2.8619239031503953E-2</v>
      </c>
    </row>
    <row r="19" spans="2:8" x14ac:dyDescent="0.2">
      <c r="B19" s="9" t="s">
        <v>93</v>
      </c>
      <c r="C19" s="10">
        <v>3.5145585031378617</v>
      </c>
      <c r="D19" s="10">
        <f t="shared" si="0"/>
        <v>3.5145585031378615E-2</v>
      </c>
      <c r="F19" s="11" t="s">
        <v>25</v>
      </c>
      <c r="G19" s="10">
        <v>-2.723387379997857</v>
      </c>
      <c r="H19" s="12">
        <f t="shared" si="1"/>
        <v>-2.7233873799978568E-2</v>
      </c>
    </row>
    <row r="20" spans="2:8" x14ac:dyDescent="0.2">
      <c r="B20" s="9" t="s">
        <v>94</v>
      </c>
      <c r="C20" s="10">
        <v>3.5102488349797465</v>
      </c>
      <c r="D20" s="10">
        <f t="shared" si="0"/>
        <v>3.5102488349797463E-2</v>
      </c>
      <c r="F20" s="11" t="s">
        <v>26</v>
      </c>
      <c r="G20" s="10">
        <v>-2.6022591074043917</v>
      </c>
      <c r="H20" s="12">
        <f t="shared" si="1"/>
        <v>-2.6022591074043918E-2</v>
      </c>
    </row>
    <row r="21" spans="2:8" x14ac:dyDescent="0.2">
      <c r="B21" s="9" t="s">
        <v>95</v>
      </c>
      <c r="C21" s="10">
        <v>2.9104089491074694</v>
      </c>
      <c r="D21" s="10">
        <f t="shared" si="0"/>
        <v>2.9104089491074694E-2</v>
      </c>
      <c r="F21" s="11" t="s">
        <v>27</v>
      </c>
      <c r="G21" s="10">
        <v>-2.4500278773865265</v>
      </c>
      <c r="H21" s="12">
        <f t="shared" si="1"/>
        <v>-2.4500278773865264E-2</v>
      </c>
    </row>
    <row r="22" spans="2:8" x14ac:dyDescent="0.2">
      <c r="B22" s="9" t="s">
        <v>96</v>
      </c>
      <c r="C22" s="10">
        <v>2.8207296601561871</v>
      </c>
      <c r="D22" s="10">
        <f t="shared" si="0"/>
        <v>2.820729660156187E-2</v>
      </c>
      <c r="F22" s="11" t="s">
        <v>28</v>
      </c>
      <c r="G22" s="10">
        <v>-2.447182322630443</v>
      </c>
      <c r="H22" s="12">
        <f t="shared" si="1"/>
        <v>-2.447182322630443E-2</v>
      </c>
    </row>
    <row r="23" spans="2:8" x14ac:dyDescent="0.2">
      <c r="B23" s="9" t="s">
        <v>97</v>
      </c>
      <c r="C23" s="10">
        <v>2.8068459906903556</v>
      </c>
      <c r="D23" s="10">
        <f t="shared" si="0"/>
        <v>2.8068459906903556E-2</v>
      </c>
      <c r="F23" s="11" t="s">
        <v>29</v>
      </c>
      <c r="G23" s="10">
        <v>-2.3664960280935099</v>
      </c>
      <c r="H23" s="12">
        <f t="shared" si="1"/>
        <v>-2.36649602809351E-2</v>
      </c>
    </row>
    <row r="24" spans="2:8" x14ac:dyDescent="0.2">
      <c r="B24" s="9" t="s">
        <v>98</v>
      </c>
      <c r="C24" s="10">
        <v>2.6739247272246121</v>
      </c>
      <c r="D24" s="10">
        <f t="shared" si="0"/>
        <v>2.6739247272246122E-2</v>
      </c>
      <c r="F24" s="11" t="s">
        <v>30</v>
      </c>
      <c r="G24" s="10">
        <v>-2.2779770982158025</v>
      </c>
      <c r="H24" s="12">
        <f t="shared" si="1"/>
        <v>-2.2779770982158026E-2</v>
      </c>
    </row>
    <row r="25" spans="2:8" x14ac:dyDescent="0.2">
      <c r="B25" s="9" t="s">
        <v>99</v>
      </c>
      <c r="C25" s="10">
        <v>2.384037889585461</v>
      </c>
      <c r="D25" s="10">
        <f t="shared" si="0"/>
        <v>2.3840378895854612E-2</v>
      </c>
      <c r="F25" s="11" t="s">
        <v>31</v>
      </c>
      <c r="G25" s="10">
        <v>-2.2097160428286378</v>
      </c>
      <c r="H25" s="12">
        <f t="shared" si="1"/>
        <v>-2.2097160428286376E-2</v>
      </c>
    </row>
    <row r="26" spans="2:8" x14ac:dyDescent="0.2">
      <c r="B26" s="9" t="s">
        <v>100</v>
      </c>
      <c r="C26" s="10">
        <v>2.3159090447307342</v>
      </c>
      <c r="D26" s="10">
        <f t="shared" si="0"/>
        <v>2.3159090447307341E-2</v>
      </c>
      <c r="F26" s="11" t="s">
        <v>32</v>
      </c>
      <c r="G26" s="10">
        <v>-2.2086797465031229</v>
      </c>
      <c r="H26" s="12">
        <f t="shared" si="1"/>
        <v>-2.2086797465031231E-2</v>
      </c>
    </row>
    <row r="27" spans="2:8" x14ac:dyDescent="0.2">
      <c r="B27" s="9" t="s">
        <v>101</v>
      </c>
      <c r="C27" s="10">
        <v>2.2506814476600554</v>
      </c>
      <c r="D27" s="10">
        <f t="shared" si="0"/>
        <v>2.2506814476600554E-2</v>
      </c>
      <c r="F27" s="11" t="s">
        <v>33</v>
      </c>
      <c r="G27" s="10">
        <v>-2.0792458262098337</v>
      </c>
      <c r="H27" s="12">
        <f t="shared" si="1"/>
        <v>-2.0792458262098336E-2</v>
      </c>
    </row>
    <row r="28" spans="2:8" x14ac:dyDescent="0.2">
      <c r="B28" s="9" t="s">
        <v>102</v>
      </c>
      <c r="C28" s="10">
        <v>2.2014342655908568</v>
      </c>
      <c r="D28" s="10">
        <f t="shared" si="0"/>
        <v>2.2014342655908566E-2</v>
      </c>
      <c r="F28" s="11" t="s">
        <v>34</v>
      </c>
      <c r="G28" s="10">
        <v>-2.0179485802828219</v>
      </c>
      <c r="H28" s="12">
        <f t="shared" si="1"/>
        <v>-2.0179485802828218E-2</v>
      </c>
    </row>
    <row r="29" spans="2:8" x14ac:dyDescent="0.2">
      <c r="B29" s="9" t="s">
        <v>103</v>
      </c>
      <c r="C29" s="10">
        <v>2.1367141863705053</v>
      </c>
      <c r="D29" s="10">
        <f t="shared" si="0"/>
        <v>2.1367141863705051E-2</v>
      </c>
      <c r="F29" s="11" t="s">
        <v>35</v>
      </c>
      <c r="G29" s="10">
        <v>-2.0127371173549222</v>
      </c>
      <c r="H29" s="12">
        <f t="shared" si="1"/>
        <v>-2.0127371173549222E-2</v>
      </c>
    </row>
    <row r="30" spans="2:8" x14ac:dyDescent="0.2">
      <c r="B30" s="9" t="s">
        <v>104</v>
      </c>
      <c r="C30" s="10">
        <v>2.1053895837492105</v>
      </c>
      <c r="D30" s="10">
        <f t="shared" si="0"/>
        <v>2.1053895837492106E-2</v>
      </c>
      <c r="F30" s="11" t="s">
        <v>36</v>
      </c>
      <c r="G30" s="10">
        <v>-1.9945375132381833</v>
      </c>
      <c r="H30" s="12">
        <f t="shared" si="1"/>
        <v>-1.9945375132381832E-2</v>
      </c>
    </row>
    <row r="31" spans="2:8" x14ac:dyDescent="0.2">
      <c r="B31" s="9" t="s">
        <v>105</v>
      </c>
      <c r="C31" s="10">
        <v>2.0150379053149194</v>
      </c>
      <c r="D31" s="10">
        <f t="shared" si="0"/>
        <v>2.0150379053149193E-2</v>
      </c>
      <c r="F31" s="11" t="s">
        <v>37</v>
      </c>
      <c r="G31" s="10">
        <v>-1.9575135354448203</v>
      </c>
      <c r="H31" s="12">
        <f t="shared" si="1"/>
        <v>-1.9575135354448204E-2</v>
      </c>
    </row>
    <row r="32" spans="2:8" x14ac:dyDescent="0.2">
      <c r="B32" s="9" t="s">
        <v>106</v>
      </c>
      <c r="C32" s="10">
        <v>1.8976035049838567</v>
      </c>
      <c r="D32" s="10">
        <f t="shared" si="0"/>
        <v>1.8976035049838566E-2</v>
      </c>
      <c r="F32" s="11" t="s">
        <v>38</v>
      </c>
      <c r="G32" s="10">
        <v>-1.9426358084806181</v>
      </c>
      <c r="H32" s="12">
        <f t="shared" si="1"/>
        <v>-1.9426358084806181E-2</v>
      </c>
    </row>
    <row r="33" spans="2:8" x14ac:dyDescent="0.2">
      <c r="B33" s="9" t="s">
        <v>107</v>
      </c>
      <c r="C33" s="10">
        <v>1.7661162878516576</v>
      </c>
      <c r="D33" s="10">
        <f t="shared" si="0"/>
        <v>1.7661162878516577E-2</v>
      </c>
      <c r="F33" s="11" t="s">
        <v>39</v>
      </c>
      <c r="G33" s="10">
        <v>-1.9329580866225344</v>
      </c>
      <c r="H33" s="12">
        <f t="shared" si="1"/>
        <v>-1.9329580866225344E-2</v>
      </c>
    </row>
    <row r="34" spans="2:8" x14ac:dyDescent="0.2">
      <c r="B34" s="9" t="s">
        <v>108</v>
      </c>
      <c r="C34" s="10">
        <v>1.6453737619248152</v>
      </c>
      <c r="D34" s="10">
        <f t="shared" si="0"/>
        <v>1.6453737619248152E-2</v>
      </c>
      <c r="F34" s="11" t="s">
        <v>40</v>
      </c>
      <c r="G34" s="10">
        <v>-1.9196536458979772</v>
      </c>
      <c r="H34" s="12">
        <f t="shared" si="1"/>
        <v>-1.9196536458979771E-2</v>
      </c>
    </row>
    <row r="35" spans="2:8" x14ac:dyDescent="0.2">
      <c r="B35" s="9" t="s">
        <v>109</v>
      </c>
      <c r="C35" s="10">
        <v>1.6318126023378006</v>
      </c>
      <c r="D35" s="10">
        <f t="shared" si="0"/>
        <v>1.6318126023378007E-2</v>
      </c>
      <c r="F35" s="11" t="s">
        <v>41</v>
      </c>
      <c r="G35" s="10">
        <v>-1.7862311305336349</v>
      </c>
      <c r="H35" s="12">
        <f t="shared" si="1"/>
        <v>-1.7862311305336349E-2</v>
      </c>
    </row>
    <row r="36" spans="2:8" x14ac:dyDescent="0.2">
      <c r="B36" s="9" t="s">
        <v>110</v>
      </c>
      <c r="C36" s="10">
        <v>1.6246065236015479</v>
      </c>
      <c r="D36" s="10">
        <f t="shared" si="0"/>
        <v>1.6246065236015479E-2</v>
      </c>
      <c r="F36" s="11" t="s">
        <v>42</v>
      </c>
      <c r="G36" s="10">
        <v>-1.4823041327024635</v>
      </c>
      <c r="H36" s="12">
        <f t="shared" si="1"/>
        <v>-1.4823041327024635E-2</v>
      </c>
    </row>
    <row r="37" spans="2:8" x14ac:dyDescent="0.2">
      <c r="B37" s="9" t="s">
        <v>111</v>
      </c>
      <c r="C37" s="10">
        <v>1.6045820067479428</v>
      </c>
      <c r="D37" s="10">
        <f t="shared" si="0"/>
        <v>1.6045820067479427E-2</v>
      </c>
      <c r="F37" s="11" t="s">
        <v>43</v>
      </c>
      <c r="G37" s="10">
        <v>-1.4759835526261758</v>
      </c>
      <c r="H37" s="12">
        <f t="shared" si="1"/>
        <v>-1.4759835526261757E-2</v>
      </c>
    </row>
    <row r="38" spans="2:8" x14ac:dyDescent="0.2">
      <c r="B38" s="9" t="s">
        <v>112</v>
      </c>
      <c r="C38" s="10">
        <v>1.5541083921662326</v>
      </c>
      <c r="D38" s="10">
        <f t="shared" si="0"/>
        <v>1.5541083921662327E-2</v>
      </c>
      <c r="F38" s="11" t="s">
        <v>44</v>
      </c>
      <c r="G38" s="10">
        <v>-1.4589042052067787</v>
      </c>
      <c r="H38" s="12">
        <f t="shared" si="1"/>
        <v>-1.4589042052067786E-2</v>
      </c>
    </row>
    <row r="39" spans="2:8" x14ac:dyDescent="0.2">
      <c r="B39" s="9" t="s">
        <v>113</v>
      </c>
      <c r="C39" s="10">
        <v>1.545446915445547</v>
      </c>
      <c r="D39" s="10">
        <f t="shared" si="0"/>
        <v>1.5454469154455469E-2</v>
      </c>
      <c r="F39" s="11" t="s">
        <v>45</v>
      </c>
      <c r="G39" s="10">
        <v>-1.4326497523780857</v>
      </c>
      <c r="H39" s="12">
        <f t="shared" si="1"/>
        <v>-1.4326497523780856E-2</v>
      </c>
    </row>
    <row r="40" spans="2:8" x14ac:dyDescent="0.2">
      <c r="B40" s="9" t="s">
        <v>114</v>
      </c>
      <c r="C40" s="10">
        <v>1.5217043990786141</v>
      </c>
      <c r="D40" s="10">
        <f t="shared" si="0"/>
        <v>1.521704399078614E-2</v>
      </c>
      <c r="F40" s="11" t="s">
        <v>46</v>
      </c>
      <c r="G40" s="10">
        <v>-1.3834258678798415</v>
      </c>
      <c r="H40" s="12">
        <f t="shared" si="1"/>
        <v>-1.3834258678798415E-2</v>
      </c>
    </row>
    <row r="41" spans="2:8" x14ac:dyDescent="0.2">
      <c r="B41" s="9" t="s">
        <v>115</v>
      </c>
      <c r="C41" s="10">
        <v>1.3061490344607001</v>
      </c>
      <c r="D41" s="10">
        <f t="shared" si="0"/>
        <v>1.3061490344607001E-2</v>
      </c>
      <c r="F41" s="11" t="s">
        <v>47</v>
      </c>
      <c r="G41" s="10">
        <v>-1.3752605784968333</v>
      </c>
      <c r="H41" s="12">
        <f t="shared" si="1"/>
        <v>-1.3752605784968333E-2</v>
      </c>
    </row>
    <row r="42" spans="2:8" x14ac:dyDescent="0.2">
      <c r="B42" s="9" t="s">
        <v>116</v>
      </c>
      <c r="C42" s="10">
        <v>0.73323948559305707</v>
      </c>
      <c r="D42" s="10">
        <f t="shared" si="0"/>
        <v>7.3323948559305711E-3</v>
      </c>
      <c r="F42" s="11" t="s">
        <v>48</v>
      </c>
      <c r="G42" s="10">
        <v>-1.29696699070377</v>
      </c>
      <c r="H42" s="12">
        <f t="shared" si="1"/>
        <v>-1.29696699070377E-2</v>
      </c>
    </row>
    <row r="43" spans="2:8" x14ac:dyDescent="0.2">
      <c r="B43" s="9" t="s">
        <v>117</v>
      </c>
      <c r="C43" s="10">
        <v>0.44822998806776171</v>
      </c>
      <c r="D43" s="10">
        <f t="shared" si="0"/>
        <v>4.4822998806776171E-3</v>
      </c>
      <c r="F43" s="11" t="s">
        <v>49</v>
      </c>
      <c r="G43" s="10">
        <v>-1.2513516835208465</v>
      </c>
      <c r="H43" s="12">
        <f t="shared" ref="H43:H74" si="2">IF(F43="","",G43/100)</f>
        <v>-1.2513516835208465E-2</v>
      </c>
    </row>
    <row r="44" spans="2:8" x14ac:dyDescent="0.2">
      <c r="B44" s="9" t="s">
        <v>118</v>
      </c>
      <c r="C44" s="10">
        <v>0.40235159656583624</v>
      </c>
      <c r="D44" s="10">
        <f t="shared" si="0"/>
        <v>4.0235159656583624E-3</v>
      </c>
      <c r="F44" s="11" t="s">
        <v>50</v>
      </c>
      <c r="G44" s="10">
        <v>-1.2403435812448727</v>
      </c>
      <c r="H44" s="12">
        <f t="shared" si="2"/>
        <v>-1.2403435812448727E-2</v>
      </c>
    </row>
    <row r="45" spans="2:8" x14ac:dyDescent="0.2">
      <c r="B45" s="9" t="s">
        <v>119</v>
      </c>
      <c r="C45" s="10">
        <v>0.36424020783090294</v>
      </c>
      <c r="D45" s="10">
        <f t="shared" si="0"/>
        <v>3.6424020783090293E-3</v>
      </c>
      <c r="F45" s="11" t="s">
        <v>51</v>
      </c>
      <c r="G45" s="10">
        <v>-1.2395771802768629</v>
      </c>
      <c r="H45" s="12">
        <f t="shared" si="2"/>
        <v>-1.2395771802768629E-2</v>
      </c>
    </row>
    <row r="46" spans="2:8" x14ac:dyDescent="0.2">
      <c r="B46" s="9" t="s">
        <v>8</v>
      </c>
      <c r="C46" s="10">
        <v>0.31853903063918826</v>
      </c>
      <c r="D46" s="10">
        <f t="shared" si="0"/>
        <v>3.1853903063918825E-3</v>
      </c>
      <c r="F46" s="11" t="s">
        <v>52</v>
      </c>
      <c r="G46" s="10">
        <v>-1.1371907213886341</v>
      </c>
      <c r="H46" s="12">
        <f t="shared" si="2"/>
        <v>-1.1371907213886341E-2</v>
      </c>
    </row>
    <row r="47" spans="2:8" x14ac:dyDescent="0.2">
      <c r="B47" s="9"/>
      <c r="C47" s="11"/>
      <c r="D47" s="11"/>
      <c r="F47" s="11" t="s">
        <v>53</v>
      </c>
      <c r="G47" s="10">
        <v>-1.0826597648051857</v>
      </c>
      <c r="H47" s="12">
        <f t="shared" si="2"/>
        <v>-1.0826597648051857E-2</v>
      </c>
    </row>
    <row r="48" spans="2:8" x14ac:dyDescent="0.2">
      <c r="F48" s="11" t="s">
        <v>54</v>
      </c>
      <c r="G48" s="10">
        <v>-1.0733992986236223</v>
      </c>
      <c r="H48" s="12">
        <f t="shared" si="2"/>
        <v>-1.0733992986236222E-2</v>
      </c>
    </row>
    <row r="49" spans="4:8" x14ac:dyDescent="0.2">
      <c r="F49" s="11" t="s">
        <v>55</v>
      </c>
      <c r="G49" s="10">
        <v>-1.0042169707107096</v>
      </c>
      <c r="H49" s="12">
        <f t="shared" si="2"/>
        <v>-1.0042169707107095E-2</v>
      </c>
    </row>
    <row r="50" spans="4:8" x14ac:dyDescent="0.2">
      <c r="F50" s="11" t="s">
        <v>56</v>
      </c>
      <c r="G50" s="10">
        <v>-1.0031265680045631</v>
      </c>
      <c r="H50" s="12">
        <f t="shared" si="2"/>
        <v>-1.0031265680045632E-2</v>
      </c>
    </row>
    <row r="51" spans="4:8" x14ac:dyDescent="0.2">
      <c r="F51" s="11" t="s">
        <v>57</v>
      </c>
      <c r="G51" s="10">
        <v>-0.97575574140702037</v>
      </c>
      <c r="H51" s="12">
        <f t="shared" si="2"/>
        <v>-9.7575574140702035E-3</v>
      </c>
    </row>
    <row r="52" spans="4:8" x14ac:dyDescent="0.2">
      <c r="D52" s="1"/>
      <c r="F52" s="11" t="s">
        <v>58</v>
      </c>
      <c r="G52" s="10">
        <v>-0.90564704860312406</v>
      </c>
      <c r="H52" s="12">
        <f t="shared" si="2"/>
        <v>-9.0564704860312401E-3</v>
      </c>
    </row>
    <row r="53" spans="4:8" x14ac:dyDescent="0.2">
      <c r="D53" s="1"/>
      <c r="F53" s="11" t="s">
        <v>59</v>
      </c>
      <c r="G53" s="10">
        <v>-0.90256903209082329</v>
      </c>
      <c r="H53" s="12">
        <f t="shared" si="2"/>
        <v>-9.0256903209082334E-3</v>
      </c>
    </row>
    <row r="54" spans="4:8" x14ac:dyDescent="0.2">
      <c r="D54" s="1"/>
      <c r="F54" s="11" t="s">
        <v>60</v>
      </c>
      <c r="G54" s="10">
        <v>-0.8573506111234761</v>
      </c>
      <c r="H54" s="12">
        <f t="shared" si="2"/>
        <v>-8.5735061112347608E-3</v>
      </c>
    </row>
    <row r="55" spans="4:8" x14ac:dyDescent="0.2">
      <c r="D55" s="1"/>
      <c r="F55" s="11" t="s">
        <v>61</v>
      </c>
      <c r="G55" s="10">
        <v>-0.81487742060026069</v>
      </c>
      <c r="H55" s="12">
        <f t="shared" si="2"/>
        <v>-8.1487742060026066E-3</v>
      </c>
    </row>
    <row r="56" spans="4:8" x14ac:dyDescent="0.2">
      <c r="D56" s="1"/>
      <c r="F56" s="11" t="s">
        <v>62</v>
      </c>
      <c r="G56" s="10">
        <v>-0.79791634336346862</v>
      </c>
      <c r="H56" s="12">
        <f t="shared" si="2"/>
        <v>-7.9791634336346864E-3</v>
      </c>
    </row>
    <row r="57" spans="4:8" x14ac:dyDescent="0.2">
      <c r="D57" s="1"/>
      <c r="F57" s="11" t="s">
        <v>63</v>
      </c>
      <c r="G57" s="10">
        <v>-0.7564239423846959</v>
      </c>
      <c r="H57" s="12">
        <f t="shared" si="2"/>
        <v>-7.5642394238469588E-3</v>
      </c>
    </row>
    <row r="58" spans="4:8" x14ac:dyDescent="0.2">
      <c r="D58" s="1"/>
      <c r="F58" s="11" t="s">
        <v>64</v>
      </c>
      <c r="G58" s="10">
        <v>-0.73654697681380243</v>
      </c>
      <c r="H58" s="12">
        <f t="shared" si="2"/>
        <v>-7.365469768138024E-3</v>
      </c>
    </row>
    <row r="59" spans="4:8" x14ac:dyDescent="0.2">
      <c r="D59" s="1"/>
      <c r="F59" s="11" t="s">
        <v>65</v>
      </c>
      <c r="G59" s="10">
        <v>-0.73335406381086576</v>
      </c>
      <c r="H59" s="12">
        <f t="shared" si="2"/>
        <v>-7.3335406381086574E-3</v>
      </c>
    </row>
    <row r="60" spans="4:8" x14ac:dyDescent="0.2">
      <c r="D60" s="1"/>
      <c r="F60" s="11" t="s">
        <v>66</v>
      </c>
      <c r="G60" s="10">
        <v>-0.69764385259381079</v>
      </c>
      <c r="H60" s="12">
        <f t="shared" si="2"/>
        <v>-6.9764385259381079E-3</v>
      </c>
    </row>
    <row r="61" spans="4:8" x14ac:dyDescent="0.2">
      <c r="D61" s="1"/>
      <c r="F61" s="11" t="s">
        <v>67</v>
      </c>
      <c r="G61" s="10">
        <v>-0.69440128902982368</v>
      </c>
      <c r="H61" s="12">
        <f t="shared" si="2"/>
        <v>-6.9440128902982364E-3</v>
      </c>
    </row>
    <row r="62" spans="4:8" x14ac:dyDescent="0.2">
      <c r="D62" s="1"/>
      <c r="F62" s="11" t="s">
        <v>68</v>
      </c>
      <c r="G62" s="10">
        <v>-0.64632331401879772</v>
      </c>
      <c r="H62" s="12">
        <f t="shared" si="2"/>
        <v>-6.4632331401879772E-3</v>
      </c>
    </row>
    <row r="63" spans="4:8" x14ac:dyDescent="0.2">
      <c r="D63" s="1"/>
      <c r="F63" s="11" t="s">
        <v>69</v>
      </c>
      <c r="G63" s="10">
        <v>-0.63331009293117091</v>
      </c>
      <c r="H63" s="12">
        <f t="shared" si="2"/>
        <v>-6.3331009293117087E-3</v>
      </c>
    </row>
    <row r="64" spans="4:8" x14ac:dyDescent="0.2">
      <c r="D64" s="1"/>
      <c r="F64" s="11" t="s">
        <v>70</v>
      </c>
      <c r="G64" s="10">
        <v>-0.57538380182665716</v>
      </c>
      <c r="H64" s="12">
        <f t="shared" si="2"/>
        <v>-5.7538380182665712E-3</v>
      </c>
    </row>
    <row r="65" spans="4:8" x14ac:dyDescent="0.2">
      <c r="D65" s="1"/>
      <c r="F65" s="11" t="s">
        <v>71</v>
      </c>
      <c r="G65" s="10">
        <v>-0.54437893608761412</v>
      </c>
      <c r="H65" s="12">
        <f t="shared" si="2"/>
        <v>-5.4437893608761416E-3</v>
      </c>
    </row>
    <row r="66" spans="4:8" x14ac:dyDescent="0.2">
      <c r="D66" s="1"/>
      <c r="F66" s="11" t="s">
        <v>72</v>
      </c>
      <c r="G66" s="10">
        <v>-0.52788037292337664</v>
      </c>
      <c r="H66" s="12">
        <f t="shared" si="2"/>
        <v>-5.2788037292337666E-3</v>
      </c>
    </row>
    <row r="67" spans="4:8" x14ac:dyDescent="0.2">
      <c r="D67" s="1"/>
      <c r="F67" s="11" t="s">
        <v>73</v>
      </c>
      <c r="G67" s="10">
        <v>-0.51560198013929648</v>
      </c>
      <c r="H67" s="12">
        <f t="shared" si="2"/>
        <v>-5.1560198013929645E-3</v>
      </c>
    </row>
    <row r="68" spans="4:8" x14ac:dyDescent="0.2">
      <c r="D68" s="1"/>
      <c r="F68" s="11" t="s">
        <v>74</v>
      </c>
      <c r="G68" s="10">
        <v>-0.4494527922700427</v>
      </c>
      <c r="H68" s="12">
        <f t="shared" si="2"/>
        <v>-4.4945279227004272E-3</v>
      </c>
    </row>
    <row r="69" spans="4:8" x14ac:dyDescent="0.2">
      <c r="D69" s="1"/>
      <c r="F69" s="11" t="s">
        <v>75</v>
      </c>
      <c r="G69" s="10">
        <v>-0.44775569790059905</v>
      </c>
      <c r="H69" s="12">
        <f t="shared" si="2"/>
        <v>-4.4775569790059906E-3</v>
      </c>
    </row>
    <row r="70" spans="4:8" x14ac:dyDescent="0.2">
      <c r="D70" s="1"/>
      <c r="F70" s="11" t="s">
        <v>76</v>
      </c>
      <c r="G70" s="10">
        <v>-0.44172449147884374</v>
      </c>
      <c r="H70" s="12">
        <f t="shared" si="2"/>
        <v>-4.4172449147884376E-3</v>
      </c>
    </row>
    <row r="71" spans="4:8" x14ac:dyDescent="0.2">
      <c r="D71" s="1"/>
      <c r="F71" s="11" t="s">
        <v>77</v>
      </c>
      <c r="G71" s="10">
        <v>-0.41018047157044513</v>
      </c>
      <c r="H71" s="12">
        <f t="shared" si="2"/>
        <v>-4.1018047157044511E-3</v>
      </c>
    </row>
    <row r="72" spans="4:8" x14ac:dyDescent="0.2">
      <c r="D72" s="1"/>
      <c r="F72" s="11" t="s">
        <v>78</v>
      </c>
      <c r="G72" s="10">
        <v>-0.40669538411209616</v>
      </c>
      <c r="H72" s="12">
        <f t="shared" si="2"/>
        <v>-4.0669538411209618E-3</v>
      </c>
    </row>
    <row r="73" spans="4:8" x14ac:dyDescent="0.2">
      <c r="D73" s="1"/>
      <c r="F73" s="11" t="s">
        <v>79</v>
      </c>
      <c r="G73" s="10">
        <v>-0.39186380670784482</v>
      </c>
      <c r="H73" s="12">
        <f t="shared" si="2"/>
        <v>-3.9186380670784482E-3</v>
      </c>
    </row>
    <row r="74" spans="4:8" x14ac:dyDescent="0.2">
      <c r="D74" s="1"/>
      <c r="F74" s="11" t="s">
        <v>80</v>
      </c>
      <c r="G74" s="10">
        <v>-0.3660817980639165</v>
      </c>
      <c r="H74" s="12">
        <f t="shared" si="2"/>
        <v>-3.6608179806391652E-3</v>
      </c>
    </row>
    <row r="75" spans="4:8" x14ac:dyDescent="0.2">
      <c r="D75" s="1"/>
      <c r="F75" s="11" t="s">
        <v>81</v>
      </c>
      <c r="G75" s="10">
        <v>-0.30618164253938557</v>
      </c>
      <c r="H75" s="12">
        <f t="shared" ref="H75:H106" si="3">IF(F75="","",G75/100)</f>
        <v>-3.0618164253938557E-3</v>
      </c>
    </row>
    <row r="76" spans="4:8" x14ac:dyDescent="0.2">
      <c r="D76" s="1"/>
      <c r="F76" s="11" t="s">
        <v>82</v>
      </c>
      <c r="G76" s="10">
        <v>-0.29600327752404315</v>
      </c>
      <c r="H76" s="12">
        <f t="shared" si="3"/>
        <v>-2.9600327752404313E-3</v>
      </c>
    </row>
    <row r="77" spans="4:8" x14ac:dyDescent="0.2">
      <c r="D77" s="1"/>
      <c r="F77" s="11" t="s">
        <v>83</v>
      </c>
      <c r="G77" s="10">
        <v>-0.2952482070686836</v>
      </c>
      <c r="H77" s="12">
        <f t="shared" si="3"/>
        <v>-2.9524820706868359E-3</v>
      </c>
    </row>
    <row r="78" spans="4:8" x14ac:dyDescent="0.2">
      <c r="D78" s="1"/>
      <c r="F78" s="11" t="s">
        <v>84</v>
      </c>
      <c r="G78" s="10">
        <v>-0.25955403680212186</v>
      </c>
      <c r="H78" s="12">
        <f t="shared" si="3"/>
        <v>-2.5955403680212184E-3</v>
      </c>
    </row>
    <row r="79" spans="4:8" x14ac:dyDescent="0.2">
      <c r="D79" s="1"/>
      <c r="F79" s="11" t="s">
        <v>9</v>
      </c>
      <c r="G79" s="10">
        <v>-0.24694712280575792</v>
      </c>
      <c r="H79" s="12">
        <f t="shared" si="3"/>
        <v>-2.4694712280575793E-3</v>
      </c>
    </row>
    <row r="80" spans="4:8" x14ac:dyDescent="0.2">
      <c r="D80" s="1"/>
      <c r="F80" s="11"/>
      <c r="G80" s="11"/>
      <c r="H80" s="13"/>
    </row>
    <row r="81" spans="4:8" x14ac:dyDescent="0.2">
      <c r="D81" s="1"/>
    </row>
    <row r="82" spans="4:8" x14ac:dyDescent="0.2">
      <c r="D82" s="1"/>
    </row>
    <row r="83" spans="4:8" x14ac:dyDescent="0.2">
      <c r="D83" s="1"/>
      <c r="G83" t="s">
        <v>5</v>
      </c>
    </row>
    <row r="84" spans="4:8" x14ac:dyDescent="0.2">
      <c r="D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H176" s="1"/>
    </row>
    <row r="177" spans="8:8" x14ac:dyDescent="0.2">
      <c r="H177" s="1"/>
    </row>
    <row r="178" spans="8:8" x14ac:dyDescent="0.2">
      <c r="H178" s="1"/>
    </row>
    <row r="179" spans="8:8" x14ac:dyDescent="0.2">
      <c r="H179" s="1"/>
    </row>
    <row r="180" spans="8:8" x14ac:dyDescent="0.2">
      <c r="H180" s="1"/>
    </row>
    <row r="181" spans="8:8" x14ac:dyDescent="0.2">
      <c r="H181" s="1"/>
    </row>
    <row r="182" spans="8:8" x14ac:dyDescent="0.2">
      <c r="H182" s="1"/>
    </row>
    <row r="183" spans="8:8" x14ac:dyDescent="0.2">
      <c r="H183" s="1"/>
    </row>
    <row r="184" spans="8:8" x14ac:dyDescent="0.2">
      <c r="H184" s="1"/>
    </row>
    <row r="185" spans="8:8" x14ac:dyDescent="0.2">
      <c r="H185" s="1"/>
    </row>
    <row r="186" spans="8:8" x14ac:dyDescent="0.2">
      <c r="H186" s="1"/>
    </row>
    <row r="187" spans="8:8" x14ac:dyDescent="0.2">
      <c r="H187" s="1"/>
    </row>
    <row r="188" spans="8:8" x14ac:dyDescent="0.2">
      <c r="H188" s="1"/>
    </row>
    <row r="189" spans="8:8" x14ac:dyDescent="0.2">
      <c r="H189" s="1"/>
    </row>
    <row r="190" spans="8:8" x14ac:dyDescent="0.2">
      <c r="H190" s="1"/>
    </row>
    <row r="191" spans="8:8" x14ac:dyDescent="0.2">
      <c r="H191" s="1"/>
    </row>
    <row r="192" spans="8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7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186</v>
      </c>
      <c r="C11" s="10">
        <v>9.3330323861757591</v>
      </c>
      <c r="D11" s="10">
        <f t="shared" ref="D11:D49" si="0">IF(B11="","",(C11/100))</f>
        <v>9.3330323861757589E-2</v>
      </c>
      <c r="F11" s="11" t="s">
        <v>16</v>
      </c>
      <c r="G11" s="10">
        <v>-5.1912406363108454</v>
      </c>
      <c r="H11" s="12">
        <f t="shared" ref="H11:H42" si="1">IF(F11="","",G11/100)</f>
        <v>-5.1912406363108454E-2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187</v>
      </c>
      <c r="C12" s="10">
        <v>6.4045242162012643</v>
      </c>
      <c r="D12" s="10">
        <f t="shared" si="0"/>
        <v>6.4045242162012642E-2</v>
      </c>
      <c r="F12" s="11" t="s">
        <v>17</v>
      </c>
      <c r="G12" s="10">
        <v>-4.4074558610953831</v>
      </c>
      <c r="H12" s="12">
        <f t="shared" si="1"/>
        <v>-4.4074558610953829E-2</v>
      </c>
      <c r="K12" s="9"/>
      <c r="L12" s="11"/>
      <c r="M12" s="11"/>
      <c r="O12" s="11"/>
      <c r="P12" s="11"/>
      <c r="Q12" s="13"/>
    </row>
    <row r="13" spans="1:17" x14ac:dyDescent="0.2">
      <c r="B13" s="9" t="s">
        <v>188</v>
      </c>
      <c r="C13" s="10">
        <v>4.997669521653024</v>
      </c>
      <c r="D13" s="10">
        <f t="shared" si="0"/>
        <v>4.997669521653024E-2</v>
      </c>
      <c r="F13" s="11" t="s">
        <v>120</v>
      </c>
      <c r="G13" s="10">
        <v>-3.8199867307816526</v>
      </c>
      <c r="H13" s="12">
        <f t="shared" si="1"/>
        <v>-3.8199867307816528E-2</v>
      </c>
      <c r="I13" s="1"/>
    </row>
    <row r="14" spans="1:17" x14ac:dyDescent="0.2">
      <c r="B14" s="9" t="s">
        <v>189</v>
      </c>
      <c r="C14" s="10">
        <v>4.5228622884551761</v>
      </c>
      <c r="D14" s="10">
        <f t="shared" si="0"/>
        <v>4.5228622884551761E-2</v>
      </c>
      <c r="F14" s="11" t="s">
        <v>121</v>
      </c>
      <c r="G14" s="10">
        <v>-3.2871115750711666</v>
      </c>
      <c r="H14" s="12">
        <f t="shared" si="1"/>
        <v>-3.2871115750711666E-2</v>
      </c>
      <c r="I14" s="1"/>
    </row>
    <row r="15" spans="1:17" x14ac:dyDescent="0.2">
      <c r="B15" s="9" t="s">
        <v>190</v>
      </c>
      <c r="C15" s="10">
        <v>4.4962824334879059</v>
      </c>
      <c r="D15" s="10">
        <f t="shared" si="0"/>
        <v>4.496282433487906E-2</v>
      </c>
      <c r="F15" s="11" t="s">
        <v>122</v>
      </c>
      <c r="G15" s="10">
        <v>-3.0677890059608321</v>
      </c>
      <c r="H15" s="12">
        <f t="shared" si="1"/>
        <v>-3.0677890059608321E-2</v>
      </c>
      <c r="I15" s="1"/>
    </row>
    <row r="16" spans="1:17" x14ac:dyDescent="0.2">
      <c r="B16" s="9" t="s">
        <v>191</v>
      </c>
      <c r="C16" s="10">
        <v>4.4512791012972119</v>
      </c>
      <c r="D16" s="10">
        <f t="shared" si="0"/>
        <v>4.4512791012972119E-2</v>
      </c>
      <c r="F16" s="11" t="s">
        <v>123</v>
      </c>
      <c r="G16" s="10">
        <v>-3.0625077139746351</v>
      </c>
      <c r="H16" s="12">
        <f t="shared" si="1"/>
        <v>-3.062507713974635E-2</v>
      </c>
      <c r="I16" s="1"/>
    </row>
    <row r="17" spans="2:8" x14ac:dyDescent="0.2">
      <c r="B17" s="9" t="s">
        <v>192</v>
      </c>
      <c r="C17" s="10">
        <v>3.7796117220447774</v>
      </c>
      <c r="D17" s="10">
        <f t="shared" si="0"/>
        <v>3.7796117220447775E-2</v>
      </c>
      <c r="F17" s="11" t="s">
        <v>124</v>
      </c>
      <c r="G17" s="10">
        <v>-3.0616223426238007</v>
      </c>
      <c r="H17" s="12">
        <f t="shared" si="1"/>
        <v>-3.0616223426238008E-2</v>
      </c>
    </row>
    <row r="18" spans="2:8" x14ac:dyDescent="0.2">
      <c r="B18" s="9" t="s">
        <v>193</v>
      </c>
      <c r="C18" s="10">
        <v>3.7635363980862118</v>
      </c>
      <c r="D18" s="10">
        <f t="shared" si="0"/>
        <v>3.7635363980862119E-2</v>
      </c>
      <c r="F18" s="11" t="s">
        <v>125</v>
      </c>
      <c r="G18" s="10">
        <v>-2.8619239031503954</v>
      </c>
      <c r="H18" s="12">
        <f t="shared" si="1"/>
        <v>-2.8619239031503953E-2</v>
      </c>
    </row>
    <row r="19" spans="2:8" x14ac:dyDescent="0.2">
      <c r="B19" s="9" t="s">
        <v>194</v>
      </c>
      <c r="C19" s="10">
        <v>3.5102488349797465</v>
      </c>
      <c r="D19" s="10">
        <f t="shared" si="0"/>
        <v>3.5102488349797463E-2</v>
      </c>
      <c r="F19" s="11" t="s">
        <v>126</v>
      </c>
      <c r="G19" s="10">
        <v>-2.723387379997857</v>
      </c>
      <c r="H19" s="12">
        <f t="shared" si="1"/>
        <v>-2.7233873799978568E-2</v>
      </c>
    </row>
    <row r="20" spans="2:8" x14ac:dyDescent="0.2">
      <c r="B20" s="9" t="s">
        <v>195</v>
      </c>
      <c r="C20" s="10">
        <v>2.9104089491074694</v>
      </c>
      <c r="D20" s="10">
        <f t="shared" si="0"/>
        <v>2.9104089491074694E-2</v>
      </c>
      <c r="F20" s="11" t="s">
        <v>127</v>
      </c>
      <c r="G20" s="10">
        <v>-2.6022591074043917</v>
      </c>
      <c r="H20" s="12">
        <f t="shared" si="1"/>
        <v>-2.6022591074043918E-2</v>
      </c>
    </row>
    <row r="21" spans="2:8" x14ac:dyDescent="0.2">
      <c r="B21" s="9" t="s">
        <v>196</v>
      </c>
      <c r="C21" s="10">
        <v>2.8207296601561871</v>
      </c>
      <c r="D21" s="10">
        <f t="shared" si="0"/>
        <v>2.820729660156187E-2</v>
      </c>
      <c r="F21" s="11" t="s">
        <v>128</v>
      </c>
      <c r="G21" s="10">
        <v>-2.4500278773865265</v>
      </c>
      <c r="H21" s="12">
        <f t="shared" si="1"/>
        <v>-2.4500278773865264E-2</v>
      </c>
    </row>
    <row r="22" spans="2:8" x14ac:dyDescent="0.2">
      <c r="B22" s="9" t="s">
        <v>197</v>
      </c>
      <c r="C22" s="10">
        <v>2.8068459906903556</v>
      </c>
      <c r="D22" s="10">
        <f t="shared" si="0"/>
        <v>2.8068459906903556E-2</v>
      </c>
      <c r="F22" s="11" t="s">
        <v>129</v>
      </c>
      <c r="G22" s="10">
        <v>-2.447182322630443</v>
      </c>
      <c r="H22" s="12">
        <f t="shared" si="1"/>
        <v>-2.447182322630443E-2</v>
      </c>
    </row>
    <row r="23" spans="2:8" x14ac:dyDescent="0.2">
      <c r="B23" s="9" t="s">
        <v>198</v>
      </c>
      <c r="C23" s="10">
        <v>2.6739247272246121</v>
      </c>
      <c r="D23" s="10">
        <f t="shared" si="0"/>
        <v>2.6739247272246122E-2</v>
      </c>
      <c r="F23" s="11" t="s">
        <v>130</v>
      </c>
      <c r="G23" s="10">
        <v>-2.3664960280935099</v>
      </c>
      <c r="H23" s="12">
        <f t="shared" si="1"/>
        <v>-2.36649602809351E-2</v>
      </c>
    </row>
    <row r="24" spans="2:8" x14ac:dyDescent="0.2">
      <c r="B24" s="9" t="s">
        <v>199</v>
      </c>
      <c r="C24" s="10">
        <v>2.384037889585461</v>
      </c>
      <c r="D24" s="10">
        <f t="shared" si="0"/>
        <v>2.3840378895854612E-2</v>
      </c>
      <c r="F24" s="11" t="s">
        <v>131</v>
      </c>
      <c r="G24" s="10">
        <v>-2.2779770982158025</v>
      </c>
      <c r="H24" s="12">
        <f t="shared" si="1"/>
        <v>-2.2779770982158026E-2</v>
      </c>
    </row>
    <row r="25" spans="2:8" x14ac:dyDescent="0.2">
      <c r="B25" s="9" t="s">
        <v>200</v>
      </c>
      <c r="C25" s="10">
        <v>2.3159090447307342</v>
      </c>
      <c r="D25" s="10">
        <f t="shared" si="0"/>
        <v>2.3159090447307341E-2</v>
      </c>
      <c r="F25" s="11" t="s">
        <v>132</v>
      </c>
      <c r="G25" s="10">
        <v>-2.2097160428286378</v>
      </c>
      <c r="H25" s="12">
        <f t="shared" si="1"/>
        <v>-2.2097160428286376E-2</v>
      </c>
    </row>
    <row r="26" spans="2:8" x14ac:dyDescent="0.2">
      <c r="B26" s="9" t="s">
        <v>201</v>
      </c>
      <c r="C26" s="10">
        <v>2.2506814476600554</v>
      </c>
      <c r="D26" s="10">
        <f t="shared" si="0"/>
        <v>2.2506814476600554E-2</v>
      </c>
      <c r="F26" s="11" t="s">
        <v>133</v>
      </c>
      <c r="G26" s="10">
        <v>-2.2086797465031229</v>
      </c>
      <c r="H26" s="12">
        <f t="shared" si="1"/>
        <v>-2.2086797465031231E-2</v>
      </c>
    </row>
    <row r="27" spans="2:8" x14ac:dyDescent="0.2">
      <c r="B27" s="9" t="s">
        <v>202</v>
      </c>
      <c r="C27" s="10">
        <v>2.2014342655908568</v>
      </c>
      <c r="D27" s="10">
        <f t="shared" si="0"/>
        <v>2.2014342655908566E-2</v>
      </c>
      <c r="F27" s="11" t="s">
        <v>134</v>
      </c>
      <c r="G27" s="10">
        <v>-2.0792458262098337</v>
      </c>
      <c r="H27" s="12">
        <f t="shared" si="1"/>
        <v>-2.0792458262098336E-2</v>
      </c>
    </row>
    <row r="28" spans="2:8" x14ac:dyDescent="0.2">
      <c r="B28" s="9" t="s">
        <v>203</v>
      </c>
      <c r="C28" s="10">
        <v>2.1367141863705053</v>
      </c>
      <c r="D28" s="10">
        <f t="shared" si="0"/>
        <v>2.1367141863705051E-2</v>
      </c>
      <c r="F28" s="11" t="s">
        <v>135</v>
      </c>
      <c r="G28" s="10">
        <v>-2.0179485802828219</v>
      </c>
      <c r="H28" s="12">
        <f t="shared" si="1"/>
        <v>-2.0179485802828218E-2</v>
      </c>
    </row>
    <row r="29" spans="2:8" x14ac:dyDescent="0.2">
      <c r="B29" s="9" t="s">
        <v>204</v>
      </c>
      <c r="C29" s="10">
        <v>2.1053895837492105</v>
      </c>
      <c r="D29" s="10">
        <f t="shared" si="0"/>
        <v>2.1053895837492106E-2</v>
      </c>
      <c r="F29" s="11" t="s">
        <v>136</v>
      </c>
      <c r="G29" s="10">
        <v>-2.0127371173549222</v>
      </c>
      <c r="H29" s="12">
        <f t="shared" si="1"/>
        <v>-2.0127371173549222E-2</v>
      </c>
    </row>
    <row r="30" spans="2:8" x14ac:dyDescent="0.2">
      <c r="B30" s="9" t="s">
        <v>205</v>
      </c>
      <c r="C30" s="10">
        <v>2.0150379053149194</v>
      </c>
      <c r="D30" s="10">
        <f t="shared" si="0"/>
        <v>2.0150379053149193E-2</v>
      </c>
      <c r="F30" s="11" t="s">
        <v>137</v>
      </c>
      <c r="G30" s="10">
        <v>-1.9945375132381833</v>
      </c>
      <c r="H30" s="12">
        <f t="shared" si="1"/>
        <v>-1.9945375132381832E-2</v>
      </c>
    </row>
    <row r="31" spans="2:8" x14ac:dyDescent="0.2">
      <c r="B31" s="9" t="s">
        <v>206</v>
      </c>
      <c r="C31" s="10">
        <v>1.8976035049838567</v>
      </c>
      <c r="D31" s="10">
        <f t="shared" si="0"/>
        <v>1.8976035049838566E-2</v>
      </c>
      <c r="F31" s="11" t="s">
        <v>138</v>
      </c>
      <c r="G31" s="10">
        <v>-1.9575135354448203</v>
      </c>
      <c r="H31" s="12">
        <f t="shared" si="1"/>
        <v>-1.9575135354448204E-2</v>
      </c>
    </row>
    <row r="32" spans="2:8" x14ac:dyDescent="0.2">
      <c r="B32" s="9" t="s">
        <v>207</v>
      </c>
      <c r="C32" s="10">
        <v>1.8291521309247862</v>
      </c>
      <c r="D32" s="10">
        <f t="shared" si="0"/>
        <v>1.8291521309247862E-2</v>
      </c>
      <c r="F32" s="11" t="s">
        <v>139</v>
      </c>
      <c r="G32" s="10">
        <v>-1.9426358084806181</v>
      </c>
      <c r="H32" s="12">
        <f t="shared" si="1"/>
        <v>-1.9426358084806181E-2</v>
      </c>
    </row>
    <row r="33" spans="2:8" x14ac:dyDescent="0.2">
      <c r="B33" s="9" t="s">
        <v>208</v>
      </c>
      <c r="C33" s="10">
        <v>1.7661162878516576</v>
      </c>
      <c r="D33" s="10">
        <f t="shared" si="0"/>
        <v>1.7661162878516577E-2</v>
      </c>
      <c r="F33" s="11" t="s">
        <v>140</v>
      </c>
      <c r="G33" s="10">
        <v>-1.9329580866225344</v>
      </c>
      <c r="H33" s="12">
        <f t="shared" si="1"/>
        <v>-1.9329580866225344E-2</v>
      </c>
    </row>
    <row r="34" spans="2:8" x14ac:dyDescent="0.2">
      <c r="B34" s="9" t="s">
        <v>209</v>
      </c>
      <c r="C34" s="10">
        <v>1.6854063722130754</v>
      </c>
      <c r="D34" s="10">
        <f t="shared" si="0"/>
        <v>1.6854063722130753E-2</v>
      </c>
      <c r="F34" s="11" t="s">
        <v>141</v>
      </c>
      <c r="G34" s="10">
        <v>-1.9196536458979772</v>
      </c>
      <c r="H34" s="12">
        <f t="shared" si="1"/>
        <v>-1.9196536458979771E-2</v>
      </c>
    </row>
    <row r="35" spans="2:8" x14ac:dyDescent="0.2">
      <c r="B35" s="9" t="s">
        <v>210</v>
      </c>
      <c r="C35" s="10">
        <v>1.6453737619248152</v>
      </c>
      <c r="D35" s="10">
        <f t="shared" si="0"/>
        <v>1.6453737619248152E-2</v>
      </c>
      <c r="F35" s="11" t="s">
        <v>142</v>
      </c>
      <c r="G35" s="10">
        <v>-1.7862311305336349</v>
      </c>
      <c r="H35" s="12">
        <f t="shared" si="1"/>
        <v>-1.7862311305336349E-2</v>
      </c>
    </row>
    <row r="36" spans="2:8" x14ac:dyDescent="0.2">
      <c r="B36" s="9" t="s">
        <v>211</v>
      </c>
      <c r="C36" s="10">
        <v>1.6318126023378006</v>
      </c>
      <c r="D36" s="10">
        <f t="shared" si="0"/>
        <v>1.6318126023378007E-2</v>
      </c>
      <c r="F36" s="11" t="s">
        <v>143</v>
      </c>
      <c r="G36" s="10">
        <v>-1.4823041327024635</v>
      </c>
      <c r="H36" s="12">
        <f t="shared" si="1"/>
        <v>-1.4823041327024635E-2</v>
      </c>
    </row>
    <row r="37" spans="2:8" x14ac:dyDescent="0.2">
      <c r="B37" s="9" t="s">
        <v>212</v>
      </c>
      <c r="C37" s="10">
        <v>1.6045820067479428</v>
      </c>
      <c r="D37" s="10">
        <f t="shared" si="0"/>
        <v>1.6045820067479427E-2</v>
      </c>
      <c r="F37" s="11" t="s">
        <v>144</v>
      </c>
      <c r="G37" s="10">
        <v>-1.4759835526261758</v>
      </c>
      <c r="H37" s="12">
        <f t="shared" si="1"/>
        <v>-1.4759835526261757E-2</v>
      </c>
    </row>
    <row r="38" spans="2:8" x14ac:dyDescent="0.2">
      <c r="B38" s="9" t="s">
        <v>213</v>
      </c>
      <c r="C38" s="10">
        <v>1.5541083921662326</v>
      </c>
      <c r="D38" s="10">
        <f t="shared" si="0"/>
        <v>1.5541083921662327E-2</v>
      </c>
      <c r="F38" s="11" t="s">
        <v>145</v>
      </c>
      <c r="G38" s="10">
        <v>-1.4589042052067787</v>
      </c>
      <c r="H38" s="12">
        <f t="shared" si="1"/>
        <v>-1.4589042052067786E-2</v>
      </c>
    </row>
    <row r="39" spans="2:8" x14ac:dyDescent="0.2">
      <c r="B39" s="9" t="s">
        <v>214</v>
      </c>
      <c r="C39" s="10">
        <v>1.545446915445547</v>
      </c>
      <c r="D39" s="10">
        <f t="shared" si="0"/>
        <v>1.5454469154455469E-2</v>
      </c>
      <c r="F39" s="11" t="s">
        <v>146</v>
      </c>
      <c r="G39" s="10">
        <v>-1.4326497523780857</v>
      </c>
      <c r="H39" s="12">
        <f t="shared" si="1"/>
        <v>-1.4326497523780856E-2</v>
      </c>
    </row>
    <row r="40" spans="2:8" x14ac:dyDescent="0.2">
      <c r="B40" s="9" t="s">
        <v>215</v>
      </c>
      <c r="C40" s="10">
        <v>1.5217043990786141</v>
      </c>
      <c r="D40" s="10">
        <f t="shared" si="0"/>
        <v>1.521704399078614E-2</v>
      </c>
      <c r="F40" s="11" t="s">
        <v>147</v>
      </c>
      <c r="G40" s="10">
        <v>-1.3834258678798415</v>
      </c>
      <c r="H40" s="12">
        <f t="shared" si="1"/>
        <v>-1.3834258678798415E-2</v>
      </c>
    </row>
    <row r="41" spans="2:8" x14ac:dyDescent="0.2">
      <c r="B41" s="9" t="s">
        <v>216</v>
      </c>
      <c r="C41" s="10">
        <v>1.4194172413124861</v>
      </c>
      <c r="D41" s="10">
        <f t="shared" si="0"/>
        <v>1.4194172413124862E-2</v>
      </c>
      <c r="F41" s="11" t="s">
        <v>148</v>
      </c>
      <c r="G41" s="10">
        <v>-1.3752605784968333</v>
      </c>
      <c r="H41" s="12">
        <f t="shared" si="1"/>
        <v>-1.3752605784968333E-2</v>
      </c>
    </row>
    <row r="42" spans="2:8" x14ac:dyDescent="0.2">
      <c r="B42" s="9" t="s">
        <v>217</v>
      </c>
      <c r="C42" s="10">
        <v>1.3061490344607001</v>
      </c>
      <c r="D42" s="10">
        <f t="shared" si="0"/>
        <v>1.3061490344607001E-2</v>
      </c>
      <c r="F42" s="11" t="s">
        <v>149</v>
      </c>
      <c r="G42" s="10">
        <v>-1.29696699070377</v>
      </c>
      <c r="H42" s="12">
        <f t="shared" si="1"/>
        <v>-1.29696699070377E-2</v>
      </c>
    </row>
    <row r="43" spans="2:8" x14ac:dyDescent="0.2">
      <c r="B43" s="9" t="s">
        <v>218</v>
      </c>
      <c r="C43" s="10">
        <v>0.73323948559305707</v>
      </c>
      <c r="D43" s="10">
        <f t="shared" si="0"/>
        <v>7.3323948559305711E-3</v>
      </c>
      <c r="F43" s="11" t="s">
        <v>150</v>
      </c>
      <c r="G43" s="10">
        <v>-1.2513516835208465</v>
      </c>
      <c r="H43" s="12">
        <f t="shared" ref="H43:H74" si="2">IF(F43="","",G43/100)</f>
        <v>-1.2513516835208465E-2</v>
      </c>
    </row>
    <row r="44" spans="2:8" x14ac:dyDescent="0.2">
      <c r="B44" s="9" t="s">
        <v>219</v>
      </c>
      <c r="C44" s="10">
        <v>0.44822998806776171</v>
      </c>
      <c r="D44" s="10">
        <f t="shared" si="0"/>
        <v>4.4822998806776171E-3</v>
      </c>
      <c r="F44" s="11" t="s">
        <v>151</v>
      </c>
      <c r="G44" s="10">
        <v>-1.2403435812448727</v>
      </c>
      <c r="H44" s="12">
        <f t="shared" si="2"/>
        <v>-1.2403435812448727E-2</v>
      </c>
    </row>
    <row r="45" spans="2:8" x14ac:dyDescent="0.2">
      <c r="B45" s="9" t="s">
        <v>220</v>
      </c>
      <c r="C45" s="10">
        <v>0.40235159656583624</v>
      </c>
      <c r="D45" s="10">
        <f t="shared" si="0"/>
        <v>4.0235159656583624E-3</v>
      </c>
      <c r="F45" s="11" t="s">
        <v>152</v>
      </c>
      <c r="G45" s="10">
        <v>-1.2395771802768629</v>
      </c>
      <c r="H45" s="12">
        <f t="shared" si="2"/>
        <v>-1.2395771802768629E-2</v>
      </c>
    </row>
    <row r="46" spans="2:8" x14ac:dyDescent="0.2">
      <c r="B46" s="9" t="s">
        <v>221</v>
      </c>
      <c r="C46" s="10">
        <v>0.36424020783090294</v>
      </c>
      <c r="D46" s="10">
        <f t="shared" si="0"/>
        <v>3.6424020783090293E-3</v>
      </c>
      <c r="F46" s="11" t="s">
        <v>153</v>
      </c>
      <c r="G46" s="10">
        <v>-1.1371907213886341</v>
      </c>
      <c r="H46" s="12">
        <f t="shared" si="2"/>
        <v>-1.1371907213886341E-2</v>
      </c>
    </row>
    <row r="47" spans="2:8" x14ac:dyDescent="0.2">
      <c r="B47" s="9" t="s">
        <v>222</v>
      </c>
      <c r="C47" s="10">
        <v>0.31853903063918826</v>
      </c>
      <c r="D47" s="10">
        <f t="shared" si="0"/>
        <v>3.1853903063918825E-3</v>
      </c>
      <c r="F47" s="11" t="s">
        <v>154</v>
      </c>
      <c r="G47" s="10">
        <v>-1.0826597648051857</v>
      </c>
      <c r="H47" s="12">
        <f t="shared" si="2"/>
        <v>-1.0826597648051857E-2</v>
      </c>
    </row>
    <row r="48" spans="2:8" x14ac:dyDescent="0.2">
      <c r="B48" s="9" t="s">
        <v>223</v>
      </c>
      <c r="C48" s="10">
        <v>0.31475623077823295</v>
      </c>
      <c r="D48" s="10">
        <f t="shared" si="0"/>
        <v>3.1475623077823296E-3</v>
      </c>
      <c r="F48" s="11" t="s">
        <v>155</v>
      </c>
      <c r="G48" s="10">
        <v>-1.0733992986236223</v>
      </c>
      <c r="H48" s="12">
        <f t="shared" si="2"/>
        <v>-1.0733992986236222E-2</v>
      </c>
    </row>
    <row r="49" spans="2:8" x14ac:dyDescent="0.2">
      <c r="B49" s="9" t="s">
        <v>13</v>
      </c>
      <c r="C49" s="10">
        <v>0.20518928228906169</v>
      </c>
      <c r="D49" s="10">
        <f t="shared" si="0"/>
        <v>2.0518928228906168E-3</v>
      </c>
      <c r="F49" s="11" t="s">
        <v>156</v>
      </c>
      <c r="G49" s="10">
        <v>-1.0042169707107096</v>
      </c>
      <c r="H49" s="12">
        <f t="shared" si="2"/>
        <v>-1.0042169707107095E-2</v>
      </c>
    </row>
    <row r="50" spans="2:8" x14ac:dyDescent="0.2">
      <c r="B50" s="9"/>
      <c r="C50" s="11"/>
      <c r="D50" s="11"/>
      <c r="F50" s="11" t="s">
        <v>157</v>
      </c>
      <c r="G50" s="10">
        <v>-1.0031265680045631</v>
      </c>
      <c r="H50" s="12">
        <f t="shared" si="2"/>
        <v>-1.0031265680045632E-2</v>
      </c>
    </row>
    <row r="51" spans="2:8" x14ac:dyDescent="0.2">
      <c r="F51" s="11" t="s">
        <v>158</v>
      </c>
      <c r="G51" s="10">
        <v>-0.97575574140702037</v>
      </c>
      <c r="H51" s="12">
        <f t="shared" si="2"/>
        <v>-9.7575574140702035E-3</v>
      </c>
    </row>
    <row r="52" spans="2:8" x14ac:dyDescent="0.2">
      <c r="F52" s="11" t="s">
        <v>159</v>
      </c>
      <c r="G52" s="10">
        <v>-0.90564704860312406</v>
      </c>
      <c r="H52" s="12">
        <f t="shared" si="2"/>
        <v>-9.0564704860312401E-3</v>
      </c>
    </row>
    <row r="53" spans="2:8" x14ac:dyDescent="0.2">
      <c r="F53" s="11" t="s">
        <v>160</v>
      </c>
      <c r="G53" s="10">
        <v>-0.90256903209082329</v>
      </c>
      <c r="H53" s="12">
        <f t="shared" si="2"/>
        <v>-9.0256903209082334E-3</v>
      </c>
    </row>
    <row r="54" spans="2:8" x14ac:dyDescent="0.2">
      <c r="F54" s="11" t="s">
        <v>161</v>
      </c>
      <c r="G54" s="10">
        <v>-0.8573506111234761</v>
      </c>
      <c r="H54" s="12">
        <f t="shared" si="2"/>
        <v>-8.5735061112347608E-3</v>
      </c>
    </row>
    <row r="55" spans="2:8" x14ac:dyDescent="0.2">
      <c r="D55" s="1"/>
      <c r="F55" s="11" t="s">
        <v>162</v>
      </c>
      <c r="G55" s="10">
        <v>-0.84263660370160964</v>
      </c>
      <c r="H55" s="12">
        <f t="shared" si="2"/>
        <v>-8.4263660370160962E-3</v>
      </c>
    </row>
    <row r="56" spans="2:8" x14ac:dyDescent="0.2">
      <c r="D56" s="1"/>
      <c r="F56" s="11" t="s">
        <v>163</v>
      </c>
      <c r="G56" s="10">
        <v>-0.81487742060026069</v>
      </c>
      <c r="H56" s="12">
        <f t="shared" si="2"/>
        <v>-8.1487742060026066E-3</v>
      </c>
    </row>
    <row r="57" spans="2:8" x14ac:dyDescent="0.2">
      <c r="D57" s="1"/>
      <c r="F57" s="11" t="s">
        <v>164</v>
      </c>
      <c r="G57" s="10">
        <v>-0.79791634336346862</v>
      </c>
      <c r="H57" s="12">
        <f t="shared" si="2"/>
        <v>-7.9791634336346864E-3</v>
      </c>
    </row>
    <row r="58" spans="2:8" x14ac:dyDescent="0.2">
      <c r="D58" s="1"/>
      <c r="F58" s="11" t="s">
        <v>165</v>
      </c>
      <c r="G58" s="10">
        <v>-0.7564239423846959</v>
      </c>
      <c r="H58" s="12">
        <f t="shared" si="2"/>
        <v>-7.5642394238469588E-3</v>
      </c>
    </row>
    <row r="59" spans="2:8" x14ac:dyDescent="0.2">
      <c r="D59" s="1"/>
      <c r="F59" s="11" t="s">
        <v>166</v>
      </c>
      <c r="G59" s="10">
        <v>-0.73654697681380243</v>
      </c>
      <c r="H59" s="12">
        <f t="shared" si="2"/>
        <v>-7.365469768138024E-3</v>
      </c>
    </row>
    <row r="60" spans="2:8" x14ac:dyDescent="0.2">
      <c r="D60" s="1"/>
      <c r="F60" s="11" t="s">
        <v>167</v>
      </c>
      <c r="G60" s="10">
        <v>-0.73335406381086576</v>
      </c>
      <c r="H60" s="12">
        <f t="shared" si="2"/>
        <v>-7.3335406381086574E-3</v>
      </c>
    </row>
    <row r="61" spans="2:8" x14ac:dyDescent="0.2">
      <c r="D61" s="1"/>
      <c r="F61" s="11" t="s">
        <v>168</v>
      </c>
      <c r="G61" s="10">
        <v>-0.69764385259381079</v>
      </c>
      <c r="H61" s="12">
        <f t="shared" si="2"/>
        <v>-6.9764385259381079E-3</v>
      </c>
    </row>
    <row r="62" spans="2:8" x14ac:dyDescent="0.2">
      <c r="D62" s="1"/>
      <c r="F62" s="11" t="s">
        <v>169</v>
      </c>
      <c r="G62" s="10">
        <v>-0.69440128902982368</v>
      </c>
      <c r="H62" s="12">
        <f t="shared" si="2"/>
        <v>-6.9440128902982364E-3</v>
      </c>
    </row>
    <row r="63" spans="2:8" x14ac:dyDescent="0.2">
      <c r="D63" s="1"/>
      <c r="F63" s="11" t="s">
        <v>170</v>
      </c>
      <c r="G63" s="10">
        <v>-0.64632331401879772</v>
      </c>
      <c r="H63" s="12">
        <f t="shared" si="2"/>
        <v>-6.4632331401879772E-3</v>
      </c>
    </row>
    <row r="64" spans="2:8" x14ac:dyDescent="0.2">
      <c r="D64" s="1"/>
      <c r="F64" s="11" t="s">
        <v>171</v>
      </c>
      <c r="G64" s="10">
        <v>-0.63331009293117091</v>
      </c>
      <c r="H64" s="12">
        <f t="shared" si="2"/>
        <v>-6.3331009293117087E-3</v>
      </c>
    </row>
    <row r="65" spans="4:8" x14ac:dyDescent="0.2">
      <c r="D65" s="1"/>
      <c r="F65" s="11" t="s">
        <v>172</v>
      </c>
      <c r="G65" s="10">
        <v>-0.57538380182665716</v>
      </c>
      <c r="H65" s="12">
        <f t="shared" si="2"/>
        <v>-5.7538380182665712E-3</v>
      </c>
    </row>
    <row r="66" spans="4:8" x14ac:dyDescent="0.2">
      <c r="D66" s="1"/>
      <c r="F66" s="11" t="s">
        <v>173</v>
      </c>
      <c r="G66" s="10">
        <v>-0.54437893608761412</v>
      </c>
      <c r="H66" s="12">
        <f t="shared" si="2"/>
        <v>-5.4437893608761416E-3</v>
      </c>
    </row>
    <row r="67" spans="4:8" x14ac:dyDescent="0.2">
      <c r="D67" s="1"/>
      <c r="F67" s="11" t="s">
        <v>174</v>
      </c>
      <c r="G67" s="10">
        <v>-0.51560198013929648</v>
      </c>
      <c r="H67" s="12">
        <f t="shared" si="2"/>
        <v>-5.1560198013929645E-3</v>
      </c>
    </row>
    <row r="68" spans="4:8" x14ac:dyDescent="0.2">
      <c r="D68" s="1"/>
      <c r="F68" s="11" t="s">
        <v>175</v>
      </c>
      <c r="G68" s="10">
        <v>-0.4494527922700427</v>
      </c>
      <c r="H68" s="12">
        <f t="shared" si="2"/>
        <v>-4.4945279227004272E-3</v>
      </c>
    </row>
    <row r="69" spans="4:8" x14ac:dyDescent="0.2">
      <c r="D69" s="1"/>
      <c r="F69" s="11" t="s">
        <v>176</v>
      </c>
      <c r="G69" s="10">
        <v>-0.44775569790059905</v>
      </c>
      <c r="H69" s="12">
        <f t="shared" si="2"/>
        <v>-4.4775569790059906E-3</v>
      </c>
    </row>
    <row r="70" spans="4:8" x14ac:dyDescent="0.2">
      <c r="D70" s="1"/>
      <c r="F70" s="11" t="s">
        <v>177</v>
      </c>
      <c r="G70" s="10">
        <v>-0.44172449147884374</v>
      </c>
      <c r="H70" s="12">
        <f t="shared" si="2"/>
        <v>-4.4172449147884376E-3</v>
      </c>
    </row>
    <row r="71" spans="4:8" x14ac:dyDescent="0.2">
      <c r="D71" s="1"/>
      <c r="F71" s="11" t="s">
        <v>178</v>
      </c>
      <c r="G71" s="10">
        <v>-0.41018047157044513</v>
      </c>
      <c r="H71" s="12">
        <f t="shared" si="2"/>
        <v>-4.1018047157044511E-3</v>
      </c>
    </row>
    <row r="72" spans="4:8" x14ac:dyDescent="0.2">
      <c r="D72" s="1"/>
      <c r="F72" s="11" t="s">
        <v>179</v>
      </c>
      <c r="G72" s="10">
        <v>-0.40669538411209616</v>
      </c>
      <c r="H72" s="12">
        <f t="shared" si="2"/>
        <v>-4.0669538411209618E-3</v>
      </c>
    </row>
    <row r="73" spans="4:8" x14ac:dyDescent="0.2">
      <c r="D73" s="1"/>
      <c r="F73" s="11" t="s">
        <v>180</v>
      </c>
      <c r="G73" s="10">
        <v>-0.39186380670784482</v>
      </c>
      <c r="H73" s="12">
        <f t="shared" si="2"/>
        <v>-3.9186380670784482E-3</v>
      </c>
    </row>
    <row r="74" spans="4:8" x14ac:dyDescent="0.2">
      <c r="D74" s="1"/>
      <c r="F74" s="11" t="s">
        <v>181</v>
      </c>
      <c r="G74" s="10">
        <v>-0.3660817980639165</v>
      </c>
      <c r="H74" s="12">
        <f t="shared" si="2"/>
        <v>-3.6608179806391652E-3</v>
      </c>
    </row>
    <row r="75" spans="4:8" x14ac:dyDescent="0.2">
      <c r="D75" s="1"/>
      <c r="F75" s="11" t="s">
        <v>182</v>
      </c>
      <c r="G75" s="10">
        <v>-0.30618164253938557</v>
      </c>
      <c r="H75" s="12">
        <f t="shared" ref="H75:H106" si="3">IF(F75="","",G75/100)</f>
        <v>-3.0618164253938557E-3</v>
      </c>
    </row>
    <row r="76" spans="4:8" x14ac:dyDescent="0.2">
      <c r="D76" s="1"/>
      <c r="F76" s="11" t="s">
        <v>183</v>
      </c>
      <c r="G76" s="10">
        <v>-0.29600327752404315</v>
      </c>
      <c r="H76" s="12">
        <f t="shared" si="3"/>
        <v>-2.9600327752404313E-3</v>
      </c>
    </row>
    <row r="77" spans="4:8" x14ac:dyDescent="0.2">
      <c r="D77" s="1"/>
      <c r="F77" s="11" t="s">
        <v>184</v>
      </c>
      <c r="G77" s="10">
        <v>-0.2952482070686836</v>
      </c>
      <c r="H77" s="12">
        <f t="shared" si="3"/>
        <v>-2.9524820706868359E-3</v>
      </c>
    </row>
    <row r="78" spans="4:8" x14ac:dyDescent="0.2">
      <c r="D78" s="1"/>
      <c r="F78" s="11" t="s">
        <v>185</v>
      </c>
      <c r="G78" s="10">
        <v>-0.25955403680212186</v>
      </c>
      <c r="H78" s="12">
        <f t="shared" si="3"/>
        <v>-2.5955403680212184E-3</v>
      </c>
    </row>
    <row r="79" spans="4:8" x14ac:dyDescent="0.2">
      <c r="D79" s="1"/>
      <c r="F79" s="11" t="s">
        <v>14</v>
      </c>
      <c r="G79" s="10">
        <v>-0.24694712280575792</v>
      </c>
      <c r="H79" s="12">
        <f t="shared" si="3"/>
        <v>-2.4694712280575793E-3</v>
      </c>
    </row>
    <row r="80" spans="4:8" x14ac:dyDescent="0.2">
      <c r="D80" s="1"/>
      <c r="F80" s="11"/>
      <c r="G80" s="11"/>
      <c r="H80" s="13"/>
    </row>
    <row r="81" spans="4:8" x14ac:dyDescent="0.2">
      <c r="D81" s="1"/>
    </row>
    <row r="82" spans="4:8" x14ac:dyDescent="0.2">
      <c r="D82" s="1"/>
    </row>
    <row r="83" spans="4:8" x14ac:dyDescent="0.2">
      <c r="D83" s="1"/>
      <c r="G83" t="s">
        <v>5</v>
      </c>
    </row>
    <row r="84" spans="4:8" x14ac:dyDescent="0.2">
      <c r="D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2026-09-29T18:53:57Z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{"begin":"9/28/2026", "end":"9/28/2026", "periodicity":"Weekday"}</vt:lpwstr>
  </property>
  <property fmtid="{D5CDD505-2E9C-101B-9397-08002B2CF9AE}" pid="10" name="filterspec">
    <vt:lpwstr/>
  </property>
  <property fmtid="{D5CDD505-2E9C-101B-9397-08002B2CF9AE}" pid="11" name="identifier">
    <vt:lpwstr>8b72fabb</vt:lpwstr>
  </property>
  <property fmtid="{D5CDD505-2E9C-101B-9397-08002B2CF9AE}" pid="12" name="beaconPortfolio">
    <vt:lpwstr>LKP_MASTER__PORT_20260928233515</vt:lpwstr>
  </property>
</Properties>
</file>