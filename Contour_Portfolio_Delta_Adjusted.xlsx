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ikumar/Downloads/"/>
    </mc:Choice>
  </mc:AlternateContent>
  <xr:revisionPtr revIDLastSave="0" documentId="8_{55A8F7AB-654A-7D45-964B-2AD86AB12C8B}" xr6:coauthVersionLast="47" xr6:coauthVersionMax="47" xr10:uidLastSave="{00000000-0000-0000-0000-000000000000}"/>
  <bookViews>
    <workbookView xWindow="0" yWindow="660" windowWidth="29040" windowHeight="15720" xr2:uid="{00000000-000D-0000-FFFF-FFFF00000000}"/>
  </bookViews>
  <sheets>
    <sheet name="Issuer" sheetId="1" r:id="rId1"/>
    <sheet name="Instrum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D49" i="2"/>
  <c r="H48" i="2"/>
  <c r="D48" i="2"/>
  <c r="H47" i="2"/>
  <c r="D47" i="2"/>
  <c r="H46" i="2"/>
  <c r="D46" i="2"/>
  <c r="H45" i="2"/>
  <c r="D45" i="2"/>
  <c r="H44" i="2"/>
  <c r="D44" i="2"/>
  <c r="H43" i="2"/>
  <c r="D43" i="2"/>
  <c r="H42" i="2"/>
  <c r="D42" i="2"/>
  <c r="H41" i="2"/>
  <c r="D41" i="2"/>
  <c r="H40" i="2"/>
  <c r="D40" i="2"/>
  <c r="H39" i="2"/>
  <c r="D39" i="2"/>
  <c r="H38" i="2"/>
  <c r="D38" i="2"/>
  <c r="H37" i="2"/>
  <c r="D37" i="2"/>
  <c r="H36" i="2"/>
  <c r="D36" i="2"/>
  <c r="H35" i="2"/>
  <c r="D35" i="2"/>
  <c r="H34" i="2"/>
  <c r="D34" i="2"/>
  <c r="H33" i="2"/>
  <c r="D33" i="2"/>
  <c r="H32" i="2"/>
  <c r="D32" i="2"/>
  <c r="H31" i="2"/>
  <c r="D31" i="2"/>
  <c r="H30" i="2"/>
  <c r="D30" i="2"/>
  <c r="H29" i="2"/>
  <c r="D29" i="2"/>
  <c r="H28" i="2"/>
  <c r="D28" i="2"/>
  <c r="H27" i="2"/>
  <c r="D27" i="2"/>
  <c r="H26" i="2"/>
  <c r="D26" i="2"/>
  <c r="H25" i="2"/>
  <c r="D25" i="2"/>
  <c r="H24" i="2"/>
  <c r="D24" i="2"/>
  <c r="H23" i="2"/>
  <c r="D23" i="2"/>
  <c r="H22" i="2"/>
  <c r="D22" i="2"/>
  <c r="H21" i="2"/>
  <c r="D21" i="2"/>
  <c r="H20" i="2"/>
  <c r="D20" i="2"/>
  <c r="H19" i="2"/>
  <c r="D19" i="2"/>
  <c r="H18" i="2"/>
  <c r="D18" i="2"/>
  <c r="H17" i="2"/>
  <c r="D17" i="2"/>
  <c r="H16" i="2"/>
  <c r="D16" i="2"/>
  <c r="H15" i="2"/>
  <c r="D15" i="2"/>
  <c r="H14" i="2"/>
  <c r="D14" i="2"/>
  <c r="H13" i="2"/>
  <c r="D13" i="2"/>
  <c r="H12" i="2"/>
  <c r="D12" i="2"/>
  <c r="Q11" i="2"/>
  <c r="M11" i="2"/>
  <c r="H11" i="2"/>
  <c r="D11" i="2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D46" i="1"/>
  <c r="H45" i="1"/>
  <c r="D45" i="1"/>
  <c r="H44" i="1"/>
  <c r="D44" i="1"/>
  <c r="H43" i="1"/>
  <c r="D43" i="1"/>
  <c r="H42" i="1"/>
  <c r="D42" i="1"/>
  <c r="H41" i="1"/>
  <c r="D41" i="1"/>
  <c r="H40" i="1"/>
  <c r="D40" i="1"/>
  <c r="H39" i="1"/>
  <c r="D39" i="1"/>
  <c r="H38" i="1"/>
  <c r="D38" i="1"/>
  <c r="H37" i="1"/>
  <c r="D37" i="1"/>
  <c r="H36" i="1"/>
  <c r="D36" i="1"/>
  <c r="H35" i="1"/>
  <c r="D35" i="1"/>
  <c r="H34" i="1"/>
  <c r="D34" i="1"/>
  <c r="H33" i="1"/>
  <c r="D33" i="1"/>
  <c r="H32" i="1"/>
  <c r="D32" i="1"/>
  <c r="H31" i="1"/>
  <c r="D31" i="1"/>
  <c r="H30" i="1"/>
  <c r="D30" i="1"/>
  <c r="H29" i="1"/>
  <c r="D29" i="1"/>
  <c r="H28" i="1"/>
  <c r="D28" i="1"/>
  <c r="H27" i="1"/>
  <c r="D27" i="1"/>
  <c r="H26" i="1"/>
  <c r="D26" i="1"/>
  <c r="H25" i="1"/>
  <c r="D25" i="1"/>
  <c r="H24" i="1"/>
  <c r="D24" i="1"/>
  <c r="H23" i="1"/>
  <c r="D23" i="1"/>
  <c r="H22" i="1"/>
  <c r="D22" i="1"/>
  <c r="H21" i="1"/>
  <c r="D21" i="1"/>
  <c r="H20" i="1"/>
  <c r="D20" i="1"/>
  <c r="H19" i="1"/>
  <c r="D19" i="1"/>
  <c r="H18" i="1"/>
  <c r="D18" i="1"/>
  <c r="H17" i="1"/>
  <c r="D17" i="1"/>
  <c r="H16" i="1"/>
  <c r="D16" i="1"/>
  <c r="H15" i="1"/>
  <c r="D15" i="1"/>
  <c r="H14" i="1"/>
  <c r="D14" i="1"/>
  <c r="H13" i="1"/>
  <c r="D13" i="1"/>
  <c r="H12" i="1"/>
  <c r="D12" i="1"/>
  <c r="Q11" i="1"/>
  <c r="M11" i="1"/>
  <c r="H11" i="1"/>
</calcChain>
</file>

<file path=xl/sharedStrings.xml><?xml version="1.0" encoding="utf-8"?>
<sst xmlns="http://schemas.openxmlformats.org/spreadsheetml/2006/main" count="258" uniqueCount="227">
  <si>
    <t>Contour Portfolio (Delta Adjusted)</t>
  </si>
  <si>
    <t>Issuer</t>
  </si>
  <si>
    <t>Portfolio Weights</t>
  </si>
  <si>
    <t>LONGS</t>
  </si>
  <si>
    <t>SHORTS</t>
  </si>
  <si>
    <t>Portfolio Weight</t>
  </si>
  <si>
    <t>FILTERS: Excluding Cross Rates and Accounting Cash</t>
  </si>
  <si>
    <t>SERIES: Trading (non-additive)</t>
  </si>
  <si>
    <t>LION</t>
  </si>
  <si>
    <t>NBIS</t>
  </si>
  <si>
    <t>PUBP</t>
  </si>
  <si>
    <t/>
  </si>
  <si>
    <t>Manticore Master Fund</t>
  </si>
  <si>
    <t>DASH US 01/15/27 P150 OTC (DASH 1/15/27 P150 OTC)</t>
  </si>
  <si>
    <t>NEBIUS CL A ORD (NMS)</t>
  </si>
  <si>
    <t>Instrument</t>
  </si>
  <si>
    <t>PUBLICIS GROUPE ORD (PAR) CFD</t>
  </si>
  <si>
    <t>CINTAS ORD (NMS)</t>
  </si>
  <si>
    <t>CTAS</t>
  </si>
  <si>
    <t>ACN</t>
  </si>
  <si>
    <t>ADSK</t>
  </si>
  <si>
    <t>GEV</t>
  </si>
  <si>
    <t>7751</t>
  </si>
  <si>
    <t>EFX</t>
  </si>
  <si>
    <t>HQY</t>
  </si>
  <si>
    <t>AAPL</t>
  </si>
  <si>
    <t>CSU</t>
  </si>
  <si>
    <t>FICO</t>
  </si>
  <si>
    <t>EXPE</t>
  </si>
  <si>
    <t>LOGI</t>
  </si>
  <si>
    <t>WSM</t>
  </si>
  <si>
    <t>EXLS</t>
  </si>
  <si>
    <t>NOW</t>
  </si>
  <si>
    <t>VRSK</t>
  </si>
  <si>
    <t>GRMN</t>
  </si>
  <si>
    <t>6098</t>
  </si>
  <si>
    <t>8136</t>
  </si>
  <si>
    <t>ARMK</t>
  </si>
  <si>
    <t>TEAM</t>
  </si>
  <si>
    <t>FNF</t>
  </si>
  <si>
    <t>IT</t>
  </si>
  <si>
    <t>LAMR</t>
  </si>
  <si>
    <t>REA</t>
  </si>
  <si>
    <t>LRCX</t>
  </si>
  <si>
    <t>BBY</t>
  </si>
  <si>
    <t>MANH</t>
  </si>
  <si>
    <t>NYT</t>
  </si>
  <si>
    <t>ADBE</t>
  </si>
  <si>
    <t>FIX</t>
  </si>
  <si>
    <t>TT</t>
  </si>
  <si>
    <t>IOT</t>
  </si>
  <si>
    <t>ANET</t>
  </si>
  <si>
    <t>RHI</t>
  </si>
  <si>
    <t>DUOL</t>
  </si>
  <si>
    <t>RNG</t>
  </si>
  <si>
    <t>FAF</t>
  </si>
  <si>
    <t>STX</t>
  </si>
  <si>
    <t>EBAY</t>
  </si>
  <si>
    <t>CVSA</t>
  </si>
  <si>
    <t>SYF</t>
  </si>
  <si>
    <t>COIN</t>
  </si>
  <si>
    <t>LOPE</t>
  </si>
  <si>
    <t>TTAN</t>
  </si>
  <si>
    <t>POWL</t>
  </si>
  <si>
    <t>GM</t>
  </si>
  <si>
    <t>ALAB</t>
  </si>
  <si>
    <t>SGI</t>
  </si>
  <si>
    <t>BFH</t>
  </si>
  <si>
    <t>HRB</t>
  </si>
  <si>
    <t>WDC</t>
  </si>
  <si>
    <t>SOFI</t>
  </si>
  <si>
    <t>CIEN</t>
  </si>
  <si>
    <t>F</t>
  </si>
  <si>
    <t>ESLT</t>
  </si>
  <si>
    <t>FDS</t>
  </si>
  <si>
    <t>CARG</t>
  </si>
  <si>
    <t>SEZL</t>
  </si>
  <si>
    <t>CHYM</t>
  </si>
  <si>
    <t>DOCN</t>
  </si>
  <si>
    <t>SYM</t>
  </si>
  <si>
    <t>3034</t>
  </si>
  <si>
    <t>CRWV</t>
  </si>
  <si>
    <t>CNXC</t>
  </si>
  <si>
    <t>TEPRF</t>
  </si>
  <si>
    <t>DAVE</t>
  </si>
  <si>
    <t>QLYS</t>
  </si>
  <si>
    <t>XYZ</t>
  </si>
  <si>
    <t>TRMB</t>
  </si>
  <si>
    <t>W</t>
  </si>
  <si>
    <t>IRM</t>
  </si>
  <si>
    <t>ETN</t>
  </si>
  <si>
    <t>TSLA</t>
  </si>
  <si>
    <t>SPOT</t>
  </si>
  <si>
    <t>GLBE</t>
  </si>
  <si>
    <t>RACE</t>
  </si>
  <si>
    <t>GOOG</t>
  </si>
  <si>
    <t>LYFT</t>
  </si>
  <si>
    <t>META</t>
  </si>
  <si>
    <t>AG1G</t>
  </si>
  <si>
    <t>SHOP</t>
  </si>
  <si>
    <t>TSM</t>
  </si>
  <si>
    <t>005930</t>
  </si>
  <si>
    <t>AMZN</t>
  </si>
  <si>
    <t>ZBRA</t>
  </si>
  <si>
    <t>Z</t>
  </si>
  <si>
    <t>DOCS</t>
  </si>
  <si>
    <t>NOD</t>
  </si>
  <si>
    <t>TER</t>
  </si>
  <si>
    <t>ZETA</t>
  </si>
  <si>
    <t>PCOR</t>
  </si>
  <si>
    <t>SAPG</t>
  </si>
  <si>
    <t>DASH</t>
  </si>
  <si>
    <t>6857</t>
  </si>
  <si>
    <t>SPHR</t>
  </si>
  <si>
    <t>RRX</t>
  </si>
  <si>
    <t>5802</t>
  </si>
  <si>
    <t>AMAT</t>
  </si>
  <si>
    <t>HPE</t>
  </si>
  <si>
    <t>ACM</t>
  </si>
  <si>
    <t>DKNG</t>
  </si>
  <si>
    <t>RBLX</t>
  </si>
  <si>
    <t>ACCENTURE CL A ORD (NYS)</t>
  </si>
  <si>
    <t>AUTODESK ORD (NMS)</t>
  </si>
  <si>
    <t>GE VERNOVA ORD (NYS)</t>
  </si>
  <si>
    <t>CANON ORD (TYO) CFD</t>
  </si>
  <si>
    <t>EQUIFAX ORD (NYS)</t>
  </si>
  <si>
    <t>HEALTHEQUITY ORD (NMS)</t>
  </si>
  <si>
    <t>APPLE ORD (NMS)</t>
  </si>
  <si>
    <t>CONSTELLATION SOFTWARE ORD (TOR)</t>
  </si>
  <si>
    <t>FAIR ISAAC ORD (NYS)</t>
  </si>
  <si>
    <t>EXPEDIA GROUP ORD (NMS)</t>
  </si>
  <si>
    <t>LOGITECH N ORD (NMS)</t>
  </si>
  <si>
    <t>WILLIAMS SONOMA ORD (NYS)</t>
  </si>
  <si>
    <t>SPOT US 01/21/28 C700 OTC (SPOT 1/21/28 C700 OTC)</t>
  </si>
  <si>
    <t>EXLSERVICE HOLDINGS ORD (NMS)</t>
  </si>
  <si>
    <t>SERVICENOW ORD (NYS)</t>
  </si>
  <si>
    <t>VERISK ANALYTICS ORD (NMS)</t>
  </si>
  <si>
    <t>GARMIN ORD (NYS)</t>
  </si>
  <si>
    <t>RECRUIT HOLDINGS CO LTD (TYO) CFD</t>
  </si>
  <si>
    <t>SANRIO ORD (TYO) CFD</t>
  </si>
  <si>
    <t>ARAMARK ORD (NYS)</t>
  </si>
  <si>
    <t>ATLASSIAN CL A ORD (NMS)</t>
  </si>
  <si>
    <t>FIDELITY NATIONAL FINANCIAL ORD (NYS)</t>
  </si>
  <si>
    <t>GARTNER ORD (NYS)</t>
  </si>
  <si>
    <t>LAMAR ADVERTISING CL A REIT (NMS)</t>
  </si>
  <si>
    <t>REA GROUP ORD (ASX) CFD</t>
  </si>
  <si>
    <t>LAM RESEARCH ORD (NMS)</t>
  </si>
  <si>
    <t>BEST BUY ORD (NYS)</t>
  </si>
  <si>
    <t>MANHATTAN ASSOCIATES ORD (NMS)</t>
  </si>
  <si>
    <t>NEW YORK TIMES CL A ORD (NYS)</t>
  </si>
  <si>
    <t>ADOBE ORD (NMS)</t>
  </si>
  <si>
    <t>COMFORT SYSTEMS USA ORD (NYS)</t>
  </si>
  <si>
    <t>TRANE TECHNOLOGIES ORD (NYS)</t>
  </si>
  <si>
    <t>SAMSARA CL A ORD (NYS)</t>
  </si>
  <si>
    <t>ARISTA NETWORKS ORD (NYS)</t>
  </si>
  <si>
    <t>ROBERT HALF ORD (NYS)</t>
  </si>
  <si>
    <t>DUOLINGO CL A ORD (NMS)</t>
  </si>
  <si>
    <t>RINGCENTRAL CL A ORD (NYS)</t>
  </si>
  <si>
    <t>FIRST AMERICAN FINANCIAL ORD (NYS)</t>
  </si>
  <si>
    <t>SEAGATE TECHNOLOGY HOLDINGS ORD (NMS)</t>
  </si>
  <si>
    <t>EBAY ORD (NMS)</t>
  </si>
  <si>
    <t>COVISTA ORD (NYS)</t>
  </si>
  <si>
    <t>SYNCHRONY FINANCIAL ORD (NYS)</t>
  </si>
  <si>
    <t>COINBASE GLOBAL CL A ORD (NMS)</t>
  </si>
  <si>
    <t>GRAND CANYON EDUCATION ORD (NMS)</t>
  </si>
  <si>
    <t>SERVICETITAN CL A ORD (NMS)</t>
  </si>
  <si>
    <t>POWELL INDUSTRIES ORD (NMS)</t>
  </si>
  <si>
    <t>GENERAL MOTORS ORD (NYS)</t>
  </si>
  <si>
    <t>ASTERA LABS ORD (NMS)</t>
  </si>
  <si>
    <t>SOMNIGROUP INTERNATIONAL ORD (NYS)</t>
  </si>
  <si>
    <t>BREAD FINANCIAL HOLDINGS ORD (NYS)</t>
  </si>
  <si>
    <t>H&amp;R BLOCK ORD (NYS)</t>
  </si>
  <si>
    <t>WESTERN DIGITAL ORD (NMS)</t>
  </si>
  <si>
    <t>SOFI TECHNOLOGIES ORD (NMS)</t>
  </si>
  <si>
    <t>CIENA ORD (NYS)</t>
  </si>
  <si>
    <t>FORD MOTOR ORD (NYS)</t>
  </si>
  <si>
    <t>ELBIT SYSTEMS ORD (NMS)</t>
  </si>
  <si>
    <t>FACTSET RESEARCH SYSTEMS ORD (NYS)</t>
  </si>
  <si>
    <t>CARGURUS CL A ORD (NMS)</t>
  </si>
  <si>
    <t>SEZZLE INC (NMS)</t>
  </si>
  <si>
    <t>CHIME FINANCIAL CL A ORD (NMS)</t>
  </si>
  <si>
    <t>DIGITALOCEAN HOLDINGS ORD (NYS)</t>
  </si>
  <si>
    <t>SYMBOTIC CL A ORD (NMS)</t>
  </si>
  <si>
    <t>NOVATEK MICROELE ORD (TAI) CFD_USD</t>
  </si>
  <si>
    <t>COREWEAVE CL A ORD (NMS)</t>
  </si>
  <si>
    <t>CONCENTRIX ORD (NMS)</t>
  </si>
  <si>
    <t>TELEPERFORMANCE ORD (PAR) CFD</t>
  </si>
  <si>
    <t>DAVE CL A ORD (NMS)</t>
  </si>
  <si>
    <t>QUALYS ORD (NMS)</t>
  </si>
  <si>
    <t>BLOCK CL A ORD (NYS)</t>
  </si>
  <si>
    <t>TRIMBLE ORD (NMS)</t>
  </si>
  <si>
    <t>SPOTIFY TECHNOLOGY ORD (NYS)</t>
  </si>
  <si>
    <t>WAYFAIR CL A ORD (NYS)</t>
  </si>
  <si>
    <t>IRON MOUNTAIN ORD (NYS)</t>
  </si>
  <si>
    <t>EATON ORD (NYS)</t>
  </si>
  <si>
    <t>TESLA ORD (NMS)</t>
  </si>
  <si>
    <t>GLOBAL E ONLINE ORD (NMS)</t>
  </si>
  <si>
    <t>ALPHABET CL A ORD (NMS)</t>
  </si>
  <si>
    <t>LYFT CL A ORD (NMS)</t>
  </si>
  <si>
    <t>META PLATFORMS CL A ORD (NMS)</t>
  </si>
  <si>
    <t>AUTO1 GROUP ORD (GER)</t>
  </si>
  <si>
    <t>SHOPIFY CL A SUB VTG ORD (NMS)</t>
  </si>
  <si>
    <t>TWN SEMICONT MAN ORD (TAI) CFD_USD</t>
  </si>
  <si>
    <t>SAMSUNG ELECTR ORD (KSC) CFD_USD</t>
  </si>
  <si>
    <t>AMAZON COM ORD (NMS)</t>
  </si>
  <si>
    <t>ZEBRA TECHNOLOGIES CL A ORD (NMS)</t>
  </si>
  <si>
    <t>ZILLOW GROUP CL C ORD (NMS)</t>
  </si>
  <si>
    <t>DOXIMITY CL A ORD (NYS)</t>
  </si>
  <si>
    <t>NORDIC SEMICONDUCTOR ORD (OSL)</t>
  </si>
  <si>
    <t>TERADYNE ORD (NMS)</t>
  </si>
  <si>
    <t>ZETA GLOBAL HOLDINGS CL A ORD (NYS)</t>
  </si>
  <si>
    <t>PROCORE TECHNOLOGIES ORD (NYS)</t>
  </si>
  <si>
    <t>FERRARI ORD (NYS)</t>
  </si>
  <si>
    <t>SAP ORD (GER)</t>
  </si>
  <si>
    <t>ADVANTEST ORD (TYO) CFD</t>
  </si>
  <si>
    <t>FERRARI ORD (MIL)</t>
  </si>
  <si>
    <t>SPHERE ENTERTAINMENT CL A ORD (NYS)</t>
  </si>
  <si>
    <t>REGAL REXNORD ORD (NYS)</t>
  </si>
  <si>
    <t>DOORDASH CL A ORD (NMS)</t>
  </si>
  <si>
    <t>SUMITOMO ELEC ORD (TYO) 5802 JP CFD JPY EQSW 20360101</t>
  </si>
  <si>
    <t>APPLIED MATERIAL ORD (NMS)</t>
  </si>
  <si>
    <t>HEWLETT PACKARD ENTERPRISE ORD (NYS)</t>
  </si>
  <si>
    <t>AECOM ORD (NYS)</t>
  </si>
  <si>
    <t>DRAFTKINGS CL A ORD (NMS)</t>
  </si>
  <si>
    <t>ROBLOX CL A ORD (NYS)</t>
  </si>
  <si>
    <t>SPOT US 01/21/28 P450 OTC (SPOT 1/21/28 P450 OTC)</t>
  </si>
  <si>
    <t>LIONSGATE STUDIOS ORD (NYS)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</si>
</sst>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theme="0" tint="-4.9958800012207406E-2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10" fontId="0" fillId="0" borderId="0" xfId="0" applyNumberFormat="1"/>
    <xf numFmtId="0" fontId="1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10" fontId="0" fillId="3" borderId="0" xfId="0" applyNumberFormat="1" applyFill="1"/>
    <xf numFmtId="0" fontId="0" fillId="3" borderId="0" xfId="0" applyFill="1"/>
    <xf numFmtId="10" fontId="0" fillId="3" borderId="8" xfId="0" applyNumberFormat="1" applyFill="1" applyBorder="1"/>
    <xf numFmtId="0" fontId="0" fillId="3" borderId="8" xfId="0" applyFill="1" applyBorder="1"/>
    <xf numFmtId="0" fontId="2" fillId="0" borderId="0" xfId="0" applyFont="1"/>
    <xf numFmtId="0" fontId="0" fillId="0" borderId="5" xfId="0" applyBorder="1"/>
    <xf numFmtId="0" fontId="1" fillId="2" borderId="5" xfId="0" applyFont="1" applyFill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9" xfId="0" applyBorder="1"/>
    <xf numFmtId="0" fontId="1" fillId="3" borderId="7" xfId="0" applyFont="1" applyFill="1" applyBorder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6D00E-F3A7-4FD6-86F3-70A35F8FFA0A}">
  <dimension ref="A1:Q208"/>
  <sheetViews>
    <sheetView tabSelected="1" workbookViewId="0">
      <selection activeCell="M16" sqref="M16"/>
    </sheetView>
  </sheetViews>
  <sheetFormatPr baseColWidth="10" defaultColWidth="8.83203125" defaultRowHeight="15" x14ac:dyDescent="0.2"/>
  <cols>
    <col min="3" max="3" width="0" hidden="1" customWidth="1"/>
    <col min="4" max="4" width="15.6640625" bestFit="1" customWidth="1"/>
    <col min="7" max="7" width="0" hidden="1" customWidth="1"/>
    <col min="8" max="8" width="15.6640625" bestFit="1" customWidth="1"/>
    <col min="12" max="12" width="15.6640625" hidden="1" customWidth="1"/>
    <col min="13" max="13" width="15.6640625" bestFit="1" customWidth="1"/>
    <col min="16" max="16" width="15.6640625" hidden="1" customWidth="1"/>
    <col min="17" max="17" width="15.6640625" bestFit="1" customWidth="1"/>
  </cols>
  <sheetData>
    <row r="1" spans="1:17" ht="19" x14ac:dyDescent="0.25">
      <c r="A1" s="14" t="s">
        <v>0</v>
      </c>
    </row>
    <row r="2" spans="1:17" x14ac:dyDescent="0.2">
      <c r="A2" s="17" t="s">
        <v>12</v>
      </c>
    </row>
    <row r="3" spans="1:17" x14ac:dyDescent="0.2">
      <c r="A3" s="18" t="s">
        <v>6</v>
      </c>
    </row>
    <row r="4" spans="1:17" x14ac:dyDescent="0.2">
      <c r="A4" s="18" t="s">
        <v>7</v>
      </c>
    </row>
    <row r="6" spans="1:17" x14ac:dyDescent="0.2">
      <c r="B6" s="2" t="s">
        <v>3</v>
      </c>
      <c r="C6" s="2"/>
      <c r="D6" s="2"/>
      <c r="E6" s="2"/>
      <c r="F6" s="2" t="s">
        <v>4</v>
      </c>
      <c r="K6" s="2" t="s">
        <v>3</v>
      </c>
      <c r="O6" s="2" t="s">
        <v>4</v>
      </c>
    </row>
    <row r="7" spans="1:17" x14ac:dyDescent="0.2">
      <c r="K7" s="2"/>
      <c r="O7" s="2"/>
    </row>
    <row r="8" spans="1:17" ht="16" thickBot="1" x14ac:dyDescent="0.25"/>
    <row r="9" spans="1:17" ht="16" thickBot="1" x14ac:dyDescent="0.25">
      <c r="B9" s="3" t="s">
        <v>1</v>
      </c>
      <c r="C9" s="4"/>
      <c r="D9" s="4" t="s">
        <v>2</v>
      </c>
      <c r="E9" s="16"/>
      <c r="F9" s="4" t="s">
        <v>1</v>
      </c>
      <c r="G9" s="4"/>
      <c r="H9" s="5" t="s">
        <v>2</v>
      </c>
      <c r="I9" s="2"/>
      <c r="J9" s="2"/>
      <c r="K9" s="3" t="s">
        <v>1</v>
      </c>
      <c r="L9" s="4" t="s">
        <v>2</v>
      </c>
      <c r="M9" s="4" t="s">
        <v>2</v>
      </c>
      <c r="N9" s="4"/>
      <c r="O9" s="4" t="s">
        <v>1</v>
      </c>
      <c r="P9" s="5" t="s">
        <v>2</v>
      </c>
      <c r="Q9" s="5" t="s">
        <v>2</v>
      </c>
    </row>
    <row r="10" spans="1:17" x14ac:dyDescent="0.2">
      <c r="B10" s="6"/>
      <c r="C10" s="7"/>
      <c r="D10" s="7"/>
      <c r="E10" s="19"/>
      <c r="F10" s="7"/>
      <c r="G10" s="7"/>
      <c r="H10" s="8"/>
      <c r="K10" s="6"/>
      <c r="L10" s="7"/>
      <c r="M10" s="7"/>
      <c r="N10" s="15"/>
      <c r="O10" s="7"/>
      <c r="P10" s="7"/>
      <c r="Q10" s="8"/>
    </row>
    <row r="11" spans="1:17" x14ac:dyDescent="0.2">
      <c r="B11" s="9" t="s">
        <v>86</v>
      </c>
      <c r="C11" s="10">
        <v>10.427609093334581</v>
      </c>
      <c r="D11" s="10">
        <f t="shared" ref="D11:D46" si="0">IF(B11="","",(C11/100))</f>
        <v>0.10427609093334582</v>
      </c>
      <c r="F11" s="11" t="s">
        <v>10</v>
      </c>
      <c r="G11" s="10">
        <v>-5.973303024824042</v>
      </c>
      <c r="H11" s="12">
        <f t="shared" ref="H11:H42" si="1">IF(F11="","",G11/100)</f>
        <v>-5.9733030248240421E-2</v>
      </c>
      <c r="K11" s="20" t="s">
        <v>11</v>
      </c>
      <c r="L11" s="11"/>
      <c r="M11" s="10" t="str">
        <f>IF(L11="","",L11/100)</f>
        <v/>
      </c>
      <c r="O11" s="21" t="s">
        <v>11</v>
      </c>
      <c r="P11" s="11"/>
      <c r="Q11" s="12" t="str">
        <f>IF(P11="","",P11/100)</f>
        <v/>
      </c>
    </row>
    <row r="12" spans="1:17" x14ac:dyDescent="0.2">
      <c r="B12" s="9" t="s">
        <v>87</v>
      </c>
      <c r="C12" s="10">
        <v>7.6935835776592301</v>
      </c>
      <c r="D12" s="10">
        <f t="shared" si="0"/>
        <v>7.6935835776592298E-2</v>
      </c>
      <c r="F12" s="11" t="s">
        <v>18</v>
      </c>
      <c r="G12" s="10">
        <v>-5.4122233600522378</v>
      </c>
      <c r="H12" s="12">
        <f t="shared" si="1"/>
        <v>-5.4122233600522381E-2</v>
      </c>
      <c r="K12" s="9"/>
      <c r="L12" s="11"/>
      <c r="M12" s="11"/>
      <c r="O12" s="11"/>
      <c r="P12" s="11"/>
      <c r="Q12" s="13"/>
    </row>
    <row r="13" spans="1:17" x14ac:dyDescent="0.2">
      <c r="B13" s="9" t="s">
        <v>88</v>
      </c>
      <c r="C13" s="10">
        <v>5.5622156661108972</v>
      </c>
      <c r="D13" s="10">
        <f t="shared" si="0"/>
        <v>5.5622156661108972E-2</v>
      </c>
      <c r="F13" s="11" t="s">
        <v>19</v>
      </c>
      <c r="G13" s="10">
        <v>-4.7009188450550372</v>
      </c>
      <c r="H13" s="12">
        <f t="shared" si="1"/>
        <v>-4.7009188450550375E-2</v>
      </c>
      <c r="I13" s="1"/>
    </row>
    <row r="14" spans="1:17" x14ac:dyDescent="0.2">
      <c r="B14" s="9" t="s">
        <v>89</v>
      </c>
      <c r="C14" s="10">
        <v>5.5479972315174511</v>
      </c>
      <c r="D14" s="10">
        <f t="shared" si="0"/>
        <v>5.5479972315174514E-2</v>
      </c>
      <c r="F14" s="11" t="s">
        <v>20</v>
      </c>
      <c r="G14" s="10">
        <v>-4.5613684035814783</v>
      </c>
      <c r="H14" s="12">
        <f t="shared" si="1"/>
        <v>-4.5613684035814783E-2</v>
      </c>
      <c r="I14" s="1"/>
    </row>
    <row r="15" spans="1:17" x14ac:dyDescent="0.2">
      <c r="B15" s="9" t="s">
        <v>90</v>
      </c>
      <c r="C15" s="10">
        <v>5.2774866730442138</v>
      </c>
      <c r="D15" s="10">
        <f t="shared" si="0"/>
        <v>5.2774866730442141E-2</v>
      </c>
      <c r="F15" s="11" t="s">
        <v>21</v>
      </c>
      <c r="G15" s="10">
        <v>-4.5040153508061271</v>
      </c>
      <c r="H15" s="12">
        <f t="shared" si="1"/>
        <v>-4.5040153508061273E-2</v>
      </c>
      <c r="I15" s="1"/>
    </row>
    <row r="16" spans="1:17" x14ac:dyDescent="0.2">
      <c r="B16" s="9" t="s">
        <v>91</v>
      </c>
      <c r="C16" s="10">
        <v>4.9969701922286207</v>
      </c>
      <c r="D16" s="10">
        <f t="shared" si="0"/>
        <v>4.9969701922286204E-2</v>
      </c>
      <c r="F16" s="11" t="s">
        <v>22</v>
      </c>
      <c r="G16" s="10">
        <v>-4.4896258564182894</v>
      </c>
      <c r="H16" s="12">
        <f t="shared" si="1"/>
        <v>-4.4896258564182896E-2</v>
      </c>
      <c r="I16" s="1"/>
    </row>
    <row r="17" spans="2:8" x14ac:dyDescent="0.2">
      <c r="B17" s="9" t="s">
        <v>92</v>
      </c>
      <c r="C17" s="10">
        <v>4.6139346967229438</v>
      </c>
      <c r="D17" s="10">
        <f t="shared" si="0"/>
        <v>4.613934696722944E-2</v>
      </c>
      <c r="F17" s="11" t="s">
        <v>23</v>
      </c>
      <c r="G17" s="10">
        <v>-4.1448738898746678</v>
      </c>
      <c r="H17" s="12">
        <f t="shared" si="1"/>
        <v>-4.144873889874668E-2</v>
      </c>
    </row>
    <row r="18" spans="2:8" x14ac:dyDescent="0.2">
      <c r="B18" s="9" t="s">
        <v>93</v>
      </c>
      <c r="C18" s="10">
        <v>4.114267718792167</v>
      </c>
      <c r="D18" s="10">
        <f t="shared" si="0"/>
        <v>4.1142677187921667E-2</v>
      </c>
      <c r="F18" s="11" t="s">
        <v>24</v>
      </c>
      <c r="G18" s="10">
        <v>-3.9166794302020596</v>
      </c>
      <c r="H18" s="12">
        <f t="shared" si="1"/>
        <v>-3.9166794302020594E-2</v>
      </c>
    </row>
    <row r="19" spans="2:8" x14ac:dyDescent="0.2">
      <c r="B19" s="9" t="s">
        <v>94</v>
      </c>
      <c r="C19" s="10">
        <v>3.8033105616935128</v>
      </c>
      <c r="D19" s="10">
        <f t="shared" si="0"/>
        <v>3.8033105616935126E-2</v>
      </c>
      <c r="F19" s="11" t="s">
        <v>25</v>
      </c>
      <c r="G19" s="10">
        <v>-3.8800047654481853</v>
      </c>
      <c r="H19" s="12">
        <f t="shared" si="1"/>
        <v>-3.8800047654481855E-2</v>
      </c>
    </row>
    <row r="20" spans="2:8" x14ac:dyDescent="0.2">
      <c r="B20" s="9" t="s">
        <v>95</v>
      </c>
      <c r="C20" s="10">
        <v>3.7923227764295206</v>
      </c>
      <c r="D20" s="10">
        <f t="shared" si="0"/>
        <v>3.7923227764295207E-2</v>
      </c>
      <c r="F20" s="11" t="s">
        <v>26</v>
      </c>
      <c r="G20" s="10">
        <v>-3.4643571575274645</v>
      </c>
      <c r="H20" s="12">
        <f t="shared" si="1"/>
        <v>-3.4643571575274645E-2</v>
      </c>
    </row>
    <row r="21" spans="2:8" x14ac:dyDescent="0.2">
      <c r="B21" s="9" t="s">
        <v>96</v>
      </c>
      <c r="C21" s="10">
        <v>3.1723219992012024</v>
      </c>
      <c r="D21" s="10">
        <f t="shared" si="0"/>
        <v>3.1723219992012025E-2</v>
      </c>
      <c r="F21" s="11" t="s">
        <v>27</v>
      </c>
      <c r="G21" s="10">
        <v>-3.1988082315684001</v>
      </c>
      <c r="H21" s="12">
        <f t="shared" si="1"/>
        <v>-3.1988082315684001E-2</v>
      </c>
    </row>
    <row r="22" spans="2:8" x14ac:dyDescent="0.2">
      <c r="B22" s="9" t="s">
        <v>97</v>
      </c>
      <c r="C22" s="10">
        <v>2.9580406341239374</v>
      </c>
      <c r="D22" s="10">
        <f t="shared" si="0"/>
        <v>2.9580406341239374E-2</v>
      </c>
      <c r="F22" s="11" t="s">
        <v>28</v>
      </c>
      <c r="G22" s="10">
        <v>-2.77266615364428</v>
      </c>
      <c r="H22" s="12">
        <f t="shared" si="1"/>
        <v>-2.77266615364428E-2</v>
      </c>
    </row>
    <row r="23" spans="2:8" x14ac:dyDescent="0.2">
      <c r="B23" s="9" t="s">
        <v>98</v>
      </c>
      <c r="C23" s="10">
        <v>2.9067463416621426</v>
      </c>
      <c r="D23" s="10">
        <f t="shared" si="0"/>
        <v>2.9067463416621427E-2</v>
      </c>
      <c r="F23" s="11" t="s">
        <v>29</v>
      </c>
      <c r="G23" s="10">
        <v>-2.7529377893896254</v>
      </c>
      <c r="H23" s="12">
        <f t="shared" si="1"/>
        <v>-2.7529377893896253E-2</v>
      </c>
    </row>
    <row r="24" spans="2:8" x14ac:dyDescent="0.2">
      <c r="B24" s="9" t="s">
        <v>99</v>
      </c>
      <c r="C24" s="10">
        <v>2.7309970286623573</v>
      </c>
      <c r="D24" s="10">
        <f t="shared" si="0"/>
        <v>2.7309970286623571E-2</v>
      </c>
      <c r="F24" s="11" t="s">
        <v>30</v>
      </c>
      <c r="G24" s="10">
        <v>-2.6869089863363786</v>
      </c>
      <c r="H24" s="12">
        <f t="shared" si="1"/>
        <v>-2.6869089863363785E-2</v>
      </c>
    </row>
    <row r="25" spans="2:8" x14ac:dyDescent="0.2">
      <c r="B25" s="9" t="s">
        <v>100</v>
      </c>
      <c r="C25" s="10">
        <v>2.5648691691948944</v>
      </c>
      <c r="D25" s="10">
        <f t="shared" si="0"/>
        <v>2.5648691691948944E-2</v>
      </c>
      <c r="F25" s="11" t="s">
        <v>31</v>
      </c>
      <c r="G25" s="10">
        <v>-2.526461699951791</v>
      </c>
      <c r="H25" s="12">
        <f t="shared" si="1"/>
        <v>-2.526461699951791E-2</v>
      </c>
    </row>
    <row r="26" spans="2:8" x14ac:dyDescent="0.2">
      <c r="B26" s="9" t="s">
        <v>101</v>
      </c>
      <c r="C26" s="10">
        <v>2.514208405827949</v>
      </c>
      <c r="D26" s="10">
        <f t="shared" si="0"/>
        <v>2.5142084058279491E-2</v>
      </c>
      <c r="F26" s="11" t="s">
        <v>32</v>
      </c>
      <c r="G26" s="10">
        <v>-2.5247037743081715</v>
      </c>
      <c r="H26" s="12">
        <f t="shared" si="1"/>
        <v>-2.5247037743081714E-2</v>
      </c>
    </row>
    <row r="27" spans="2:8" x14ac:dyDescent="0.2">
      <c r="B27" s="9" t="s">
        <v>102</v>
      </c>
      <c r="C27" s="10">
        <v>2.4286427699734028</v>
      </c>
      <c r="D27" s="10">
        <f t="shared" si="0"/>
        <v>2.4286427699734027E-2</v>
      </c>
      <c r="F27" s="11" t="s">
        <v>33</v>
      </c>
      <c r="G27" s="10">
        <v>-2.4642596398202143</v>
      </c>
      <c r="H27" s="12">
        <f t="shared" si="1"/>
        <v>-2.4642596398202144E-2</v>
      </c>
    </row>
    <row r="28" spans="2:8" x14ac:dyDescent="0.2">
      <c r="B28" s="9" t="s">
        <v>103</v>
      </c>
      <c r="C28" s="10">
        <v>2.3710659168585337</v>
      </c>
      <c r="D28" s="10">
        <f t="shared" si="0"/>
        <v>2.3710659168585339E-2</v>
      </c>
      <c r="F28" s="11" t="s">
        <v>34</v>
      </c>
      <c r="G28" s="10">
        <v>-2.3986233374554371</v>
      </c>
      <c r="H28" s="12">
        <f t="shared" si="1"/>
        <v>-2.3986233374554369E-2</v>
      </c>
    </row>
    <row r="29" spans="2:8" x14ac:dyDescent="0.2">
      <c r="B29" s="9" t="s">
        <v>104</v>
      </c>
      <c r="C29" s="10">
        <v>2.132386289837457</v>
      </c>
      <c r="D29" s="10">
        <f t="shared" si="0"/>
        <v>2.1323862898374572E-2</v>
      </c>
      <c r="F29" s="11" t="s">
        <v>35</v>
      </c>
      <c r="G29" s="10">
        <v>-2.3616472882443462</v>
      </c>
      <c r="H29" s="12">
        <f t="shared" si="1"/>
        <v>-2.3616472882443462E-2</v>
      </c>
    </row>
    <row r="30" spans="2:8" x14ac:dyDescent="0.2">
      <c r="B30" s="9" t="s">
        <v>105</v>
      </c>
      <c r="C30" s="10">
        <v>2.1073622890838983</v>
      </c>
      <c r="D30" s="10">
        <f t="shared" si="0"/>
        <v>2.1073622890838983E-2</v>
      </c>
      <c r="F30" s="11" t="s">
        <v>36</v>
      </c>
      <c r="G30" s="10">
        <v>-2.3210498372603086</v>
      </c>
      <c r="H30" s="12">
        <f t="shared" si="1"/>
        <v>-2.3210498372603087E-2</v>
      </c>
    </row>
    <row r="31" spans="2:8" x14ac:dyDescent="0.2">
      <c r="B31" s="9" t="s">
        <v>106</v>
      </c>
      <c r="C31" s="10">
        <v>2.0931168178411013</v>
      </c>
      <c r="D31" s="10">
        <f t="shared" si="0"/>
        <v>2.0931168178411012E-2</v>
      </c>
      <c r="F31" s="11" t="s">
        <v>37</v>
      </c>
      <c r="G31" s="10">
        <v>-2.0469200976686563</v>
      </c>
      <c r="H31" s="12">
        <f t="shared" si="1"/>
        <v>-2.0469200976686565E-2</v>
      </c>
    </row>
    <row r="32" spans="2:8" x14ac:dyDescent="0.2">
      <c r="B32" s="9" t="s">
        <v>107</v>
      </c>
      <c r="C32" s="10">
        <v>2.0049387625386745</v>
      </c>
      <c r="D32" s="10">
        <f t="shared" si="0"/>
        <v>2.0049387625386744E-2</v>
      </c>
      <c r="F32" s="11" t="s">
        <v>38</v>
      </c>
      <c r="G32" s="10">
        <v>-2.0244483923219616</v>
      </c>
      <c r="H32" s="12">
        <f t="shared" si="1"/>
        <v>-2.0244483923219616E-2</v>
      </c>
    </row>
    <row r="33" spans="2:8" x14ac:dyDescent="0.2">
      <c r="B33" s="9" t="s">
        <v>108</v>
      </c>
      <c r="C33" s="10">
        <v>2.0042031707250647</v>
      </c>
      <c r="D33" s="10">
        <f t="shared" si="0"/>
        <v>2.0042031707250649E-2</v>
      </c>
      <c r="F33" s="11" t="s">
        <v>39</v>
      </c>
      <c r="G33" s="10">
        <v>-2.0177644303680498</v>
      </c>
      <c r="H33" s="12">
        <f t="shared" si="1"/>
        <v>-2.0177644303680499E-2</v>
      </c>
    </row>
    <row r="34" spans="2:8" x14ac:dyDescent="0.2">
      <c r="B34" s="9" t="s">
        <v>109</v>
      </c>
      <c r="C34" s="10">
        <v>1.9732465525992879</v>
      </c>
      <c r="D34" s="10">
        <f t="shared" si="0"/>
        <v>1.9732465525992879E-2</v>
      </c>
      <c r="F34" s="11" t="s">
        <v>40</v>
      </c>
      <c r="G34" s="10">
        <v>-1.9784020796763355</v>
      </c>
      <c r="H34" s="12">
        <f t="shared" si="1"/>
        <v>-1.9784020796763356E-2</v>
      </c>
    </row>
    <row r="35" spans="2:8" x14ac:dyDescent="0.2">
      <c r="B35" s="9" t="s">
        <v>110</v>
      </c>
      <c r="C35" s="10">
        <v>1.9679593000080795</v>
      </c>
      <c r="D35" s="10">
        <f t="shared" si="0"/>
        <v>1.9679593000080795E-2</v>
      </c>
      <c r="F35" s="11" t="s">
        <v>41</v>
      </c>
      <c r="G35" s="10">
        <v>-1.8882387174049113</v>
      </c>
      <c r="H35" s="12">
        <f t="shared" si="1"/>
        <v>-1.8882387174049112E-2</v>
      </c>
    </row>
    <row r="36" spans="2:8" x14ac:dyDescent="0.2">
      <c r="B36" s="9" t="s">
        <v>111</v>
      </c>
      <c r="C36" s="10">
        <v>1.9442153113479081</v>
      </c>
      <c r="D36" s="10">
        <f t="shared" si="0"/>
        <v>1.9442153113479081E-2</v>
      </c>
      <c r="F36" s="11" t="s">
        <v>42</v>
      </c>
      <c r="G36" s="10">
        <v>-1.7990615339319025</v>
      </c>
      <c r="H36" s="12">
        <f t="shared" si="1"/>
        <v>-1.7990615339319026E-2</v>
      </c>
    </row>
    <row r="37" spans="2:8" x14ac:dyDescent="0.2">
      <c r="B37" s="9" t="s">
        <v>112</v>
      </c>
      <c r="C37" s="10">
        <v>1.8891075484904203</v>
      </c>
      <c r="D37" s="10">
        <f t="shared" si="0"/>
        <v>1.8891075484904204E-2</v>
      </c>
      <c r="F37" s="11" t="s">
        <v>43</v>
      </c>
      <c r="G37" s="10">
        <v>-1.7964748183797983</v>
      </c>
      <c r="H37" s="12">
        <f t="shared" si="1"/>
        <v>-1.7964748183797983E-2</v>
      </c>
    </row>
    <row r="38" spans="2:8" x14ac:dyDescent="0.2">
      <c r="B38" s="9" t="s">
        <v>113</v>
      </c>
      <c r="C38" s="10">
        <v>1.7320716732346295</v>
      </c>
      <c r="D38" s="10">
        <f t="shared" si="0"/>
        <v>1.7320716732346295E-2</v>
      </c>
      <c r="F38" s="11" t="s">
        <v>44</v>
      </c>
      <c r="G38" s="10">
        <v>-1.7604967451943221</v>
      </c>
      <c r="H38" s="12">
        <f t="shared" si="1"/>
        <v>-1.7604967451943222E-2</v>
      </c>
    </row>
    <row r="39" spans="2:8" x14ac:dyDescent="0.2">
      <c r="B39" s="9" t="s">
        <v>114</v>
      </c>
      <c r="C39" s="10">
        <v>1.7131131127524628</v>
      </c>
      <c r="D39" s="10">
        <f t="shared" si="0"/>
        <v>1.7131131127524627E-2</v>
      </c>
      <c r="F39" s="11" t="s">
        <v>45</v>
      </c>
      <c r="G39" s="10">
        <v>-1.7553441327263473</v>
      </c>
      <c r="H39" s="12">
        <f t="shared" si="1"/>
        <v>-1.7553441327263473E-2</v>
      </c>
    </row>
    <row r="40" spans="2:8" x14ac:dyDescent="0.2">
      <c r="B40" s="9" t="s">
        <v>115</v>
      </c>
      <c r="C40" s="10">
        <v>1.5563744582266428</v>
      </c>
      <c r="D40" s="10">
        <f t="shared" si="0"/>
        <v>1.5563744582266427E-2</v>
      </c>
      <c r="F40" s="11" t="s">
        <v>46</v>
      </c>
      <c r="G40" s="10">
        <v>-1.5900082141812351</v>
      </c>
      <c r="H40" s="12">
        <f t="shared" si="1"/>
        <v>-1.5900082141812349E-2</v>
      </c>
    </row>
    <row r="41" spans="2:8" x14ac:dyDescent="0.2">
      <c r="B41" s="9" t="s">
        <v>116</v>
      </c>
      <c r="C41" s="10">
        <v>1.5331280914256717</v>
      </c>
      <c r="D41" s="10">
        <f t="shared" si="0"/>
        <v>1.5331280914256718E-2</v>
      </c>
      <c r="F41" s="11" t="s">
        <v>47</v>
      </c>
      <c r="G41" s="10">
        <v>-1.5829300166525011</v>
      </c>
      <c r="H41" s="12">
        <f t="shared" si="1"/>
        <v>-1.582930016652501E-2</v>
      </c>
    </row>
    <row r="42" spans="2:8" x14ac:dyDescent="0.2">
      <c r="B42" s="9" t="s">
        <v>117</v>
      </c>
      <c r="C42" s="10">
        <v>1.4588145814784628</v>
      </c>
      <c r="D42" s="10">
        <f t="shared" si="0"/>
        <v>1.4588145814784627E-2</v>
      </c>
      <c r="F42" s="11" t="s">
        <v>48</v>
      </c>
      <c r="G42" s="10">
        <v>-1.5714085669877464</v>
      </c>
      <c r="H42" s="12">
        <f t="shared" si="1"/>
        <v>-1.5714085669877465E-2</v>
      </c>
    </row>
    <row r="43" spans="2:8" x14ac:dyDescent="0.2">
      <c r="B43" s="9" t="s">
        <v>118</v>
      </c>
      <c r="C43" s="10">
        <v>1.4551015777060856</v>
      </c>
      <c r="D43" s="10">
        <f t="shared" si="0"/>
        <v>1.4551015777060855E-2</v>
      </c>
      <c r="F43" s="11" t="s">
        <v>49</v>
      </c>
      <c r="G43" s="10">
        <v>-1.515696647306741</v>
      </c>
      <c r="H43" s="12">
        <f t="shared" ref="H43:H74" si="2">IF(F43="","",G43/100)</f>
        <v>-1.5156966473067411E-2</v>
      </c>
    </row>
    <row r="44" spans="2:8" x14ac:dyDescent="0.2">
      <c r="B44" s="9" t="s">
        <v>119</v>
      </c>
      <c r="C44" s="10">
        <v>1.1397703690977865</v>
      </c>
      <c r="D44" s="10">
        <f t="shared" si="0"/>
        <v>1.1397703690977866E-2</v>
      </c>
      <c r="F44" s="11" t="s">
        <v>50</v>
      </c>
      <c r="G44" s="10">
        <v>-1.4593968093384804</v>
      </c>
      <c r="H44" s="12">
        <f t="shared" si="2"/>
        <v>-1.4593968093384804E-2</v>
      </c>
    </row>
    <row r="45" spans="2:8" x14ac:dyDescent="0.2">
      <c r="B45" s="9" t="s">
        <v>120</v>
      </c>
      <c r="C45" s="10">
        <v>0.56972765686805427</v>
      </c>
      <c r="D45" s="10">
        <f t="shared" si="0"/>
        <v>5.697276568680543E-3</v>
      </c>
      <c r="F45" s="11" t="s">
        <v>51</v>
      </c>
      <c r="G45" s="10">
        <v>-1.4390590836012493</v>
      </c>
      <c r="H45" s="12">
        <f t="shared" si="2"/>
        <v>-1.4390590836012494E-2</v>
      </c>
    </row>
    <row r="46" spans="2:8" x14ac:dyDescent="0.2">
      <c r="B46" s="9" t="s">
        <v>8</v>
      </c>
      <c r="C46" s="10">
        <v>0.49915213305670336</v>
      </c>
      <c r="D46" s="10">
        <f t="shared" si="0"/>
        <v>4.9915213305670334E-3</v>
      </c>
      <c r="F46" s="11" t="s">
        <v>52</v>
      </c>
      <c r="G46" s="10">
        <v>-1.3952691641461448</v>
      </c>
      <c r="H46" s="12">
        <f t="shared" si="2"/>
        <v>-1.3952691641461448E-2</v>
      </c>
    </row>
    <row r="47" spans="2:8" x14ac:dyDescent="0.2">
      <c r="B47" s="9"/>
      <c r="C47" s="11"/>
      <c r="D47" s="11"/>
      <c r="F47" s="11" t="s">
        <v>53</v>
      </c>
      <c r="G47" s="10">
        <v>-1.3946404413318709</v>
      </c>
      <c r="H47" s="12">
        <f t="shared" si="2"/>
        <v>-1.394640441331871E-2</v>
      </c>
    </row>
    <row r="48" spans="2:8" x14ac:dyDescent="0.2">
      <c r="F48" s="11" t="s">
        <v>54</v>
      </c>
      <c r="G48" s="10">
        <v>-1.3296738050992951</v>
      </c>
      <c r="H48" s="12">
        <f t="shared" si="2"/>
        <v>-1.3296738050992952E-2</v>
      </c>
    </row>
    <row r="49" spans="4:8" x14ac:dyDescent="0.2">
      <c r="F49" s="11" t="s">
        <v>55</v>
      </c>
      <c r="G49" s="10">
        <v>-1.2528405462132017</v>
      </c>
      <c r="H49" s="12">
        <f t="shared" si="2"/>
        <v>-1.2528405462132018E-2</v>
      </c>
    </row>
    <row r="50" spans="4:8" x14ac:dyDescent="0.2">
      <c r="F50" s="11" t="s">
        <v>56</v>
      </c>
      <c r="G50" s="10">
        <v>-1.2159826774604667</v>
      </c>
      <c r="H50" s="12">
        <f t="shared" si="2"/>
        <v>-1.2159826774604667E-2</v>
      </c>
    </row>
    <row r="51" spans="4:8" x14ac:dyDescent="0.2">
      <c r="F51" s="11" t="s">
        <v>57</v>
      </c>
      <c r="G51" s="10">
        <v>-1.2100582487518343</v>
      </c>
      <c r="H51" s="12">
        <f t="shared" si="2"/>
        <v>-1.2100582487518344E-2</v>
      </c>
    </row>
    <row r="52" spans="4:8" x14ac:dyDescent="0.2">
      <c r="D52" s="1"/>
      <c r="F52" s="11" t="s">
        <v>58</v>
      </c>
      <c r="G52" s="10">
        <v>-1.179837500021484</v>
      </c>
      <c r="H52" s="12">
        <f t="shared" si="2"/>
        <v>-1.179837500021484E-2</v>
      </c>
    </row>
    <row r="53" spans="4:8" x14ac:dyDescent="0.2">
      <c r="D53" s="1"/>
      <c r="F53" s="11" t="s">
        <v>59</v>
      </c>
      <c r="G53" s="10">
        <v>-1.1528153265621626</v>
      </c>
      <c r="H53" s="12">
        <f t="shared" si="2"/>
        <v>-1.1528153265621626E-2</v>
      </c>
    </row>
    <row r="54" spans="4:8" x14ac:dyDescent="0.2">
      <c r="D54" s="1"/>
      <c r="F54" s="11" t="s">
        <v>60</v>
      </c>
      <c r="G54" s="10">
        <v>-1.1352402338532157</v>
      </c>
      <c r="H54" s="12">
        <f t="shared" si="2"/>
        <v>-1.1352402338532156E-2</v>
      </c>
    </row>
    <row r="55" spans="4:8" x14ac:dyDescent="0.2">
      <c r="D55" s="1"/>
      <c r="F55" s="11" t="s">
        <v>61</v>
      </c>
      <c r="G55" s="10">
        <v>-1.0260339956228759</v>
      </c>
      <c r="H55" s="12">
        <f t="shared" si="2"/>
        <v>-1.026033995622876E-2</v>
      </c>
    </row>
    <row r="56" spans="4:8" x14ac:dyDescent="0.2">
      <c r="D56" s="1"/>
      <c r="F56" s="11" t="s">
        <v>62</v>
      </c>
      <c r="G56" s="10">
        <v>-0.97481737466847596</v>
      </c>
      <c r="H56" s="12">
        <f t="shared" si="2"/>
        <v>-9.7481737466847598E-3</v>
      </c>
    </row>
    <row r="57" spans="4:8" x14ac:dyDescent="0.2">
      <c r="D57" s="1"/>
      <c r="F57" s="11" t="s">
        <v>63</v>
      </c>
      <c r="G57" s="10">
        <v>-0.88649243676744327</v>
      </c>
      <c r="H57" s="12">
        <f t="shared" si="2"/>
        <v>-8.8649243676744323E-3</v>
      </c>
    </row>
    <row r="58" spans="4:8" x14ac:dyDescent="0.2">
      <c r="D58" s="1"/>
      <c r="F58" s="11" t="s">
        <v>64</v>
      </c>
      <c r="G58" s="10">
        <v>-0.86847300496580326</v>
      </c>
      <c r="H58" s="12">
        <f t="shared" si="2"/>
        <v>-8.6847300496580328E-3</v>
      </c>
    </row>
    <row r="59" spans="4:8" x14ac:dyDescent="0.2">
      <c r="D59" s="1"/>
      <c r="F59" s="11" t="s">
        <v>65</v>
      </c>
      <c r="G59" s="10">
        <v>-0.86442308626370223</v>
      </c>
      <c r="H59" s="12">
        <f t="shared" si="2"/>
        <v>-8.6442308626370219E-3</v>
      </c>
    </row>
    <row r="60" spans="4:8" x14ac:dyDescent="0.2">
      <c r="D60" s="1"/>
      <c r="F60" s="11" t="s">
        <v>66</v>
      </c>
      <c r="G60" s="10">
        <v>-0.82620305414216078</v>
      </c>
      <c r="H60" s="12">
        <f t="shared" si="2"/>
        <v>-8.2620305414216073E-3</v>
      </c>
    </row>
    <row r="61" spans="4:8" x14ac:dyDescent="0.2">
      <c r="D61" s="1"/>
      <c r="F61" s="11" t="s">
        <v>67</v>
      </c>
      <c r="G61" s="10">
        <v>-0.77647961517393482</v>
      </c>
      <c r="H61" s="12">
        <f t="shared" si="2"/>
        <v>-7.7647961517393485E-3</v>
      </c>
    </row>
    <row r="62" spans="4:8" x14ac:dyDescent="0.2">
      <c r="D62" s="1"/>
      <c r="F62" s="11" t="s">
        <v>68</v>
      </c>
      <c r="G62" s="10">
        <v>-0.73647452378621547</v>
      </c>
      <c r="H62" s="12">
        <f t="shared" si="2"/>
        <v>-7.3647452378621551E-3</v>
      </c>
    </row>
    <row r="63" spans="4:8" x14ac:dyDescent="0.2">
      <c r="D63" s="1"/>
      <c r="F63" s="11" t="s">
        <v>69</v>
      </c>
      <c r="G63" s="10">
        <v>-0.71670028913639117</v>
      </c>
      <c r="H63" s="12">
        <f t="shared" si="2"/>
        <v>-7.1670028913639119E-3</v>
      </c>
    </row>
    <row r="64" spans="4:8" x14ac:dyDescent="0.2">
      <c r="D64" s="1"/>
      <c r="F64" s="11" t="s">
        <v>70</v>
      </c>
      <c r="G64" s="10">
        <v>-0.69037928734543907</v>
      </c>
      <c r="H64" s="12">
        <f t="shared" si="2"/>
        <v>-6.903792873454391E-3</v>
      </c>
    </row>
    <row r="65" spans="4:8" x14ac:dyDescent="0.2">
      <c r="D65" s="1"/>
      <c r="F65" s="11" t="s">
        <v>71</v>
      </c>
      <c r="G65" s="10">
        <v>-0.68770443956660965</v>
      </c>
      <c r="H65" s="12">
        <f t="shared" si="2"/>
        <v>-6.8770443956660968E-3</v>
      </c>
    </row>
    <row r="66" spans="4:8" x14ac:dyDescent="0.2">
      <c r="D66" s="1"/>
      <c r="F66" s="11" t="s">
        <v>72</v>
      </c>
      <c r="G66" s="10">
        <v>-0.68305945484547959</v>
      </c>
      <c r="H66" s="12">
        <f t="shared" si="2"/>
        <v>-6.8305945484547961E-3</v>
      </c>
    </row>
    <row r="67" spans="4:8" x14ac:dyDescent="0.2">
      <c r="D67" s="1"/>
      <c r="F67" s="11" t="s">
        <v>73</v>
      </c>
      <c r="G67" s="10">
        <v>-0.62084920605031768</v>
      </c>
      <c r="H67" s="12">
        <f t="shared" si="2"/>
        <v>-6.2084920605031766E-3</v>
      </c>
    </row>
    <row r="68" spans="4:8" x14ac:dyDescent="0.2">
      <c r="D68" s="1"/>
      <c r="F68" s="11" t="s">
        <v>74</v>
      </c>
      <c r="G68" s="10">
        <v>-0.60592848946123645</v>
      </c>
      <c r="H68" s="12">
        <f t="shared" si="2"/>
        <v>-6.0592848946123649E-3</v>
      </c>
    </row>
    <row r="69" spans="4:8" x14ac:dyDescent="0.2">
      <c r="D69" s="1"/>
      <c r="F69" s="11" t="s">
        <v>75</v>
      </c>
      <c r="G69" s="10">
        <v>-0.58835131488866599</v>
      </c>
      <c r="H69" s="12">
        <f t="shared" si="2"/>
        <v>-5.8835131488866599E-3</v>
      </c>
    </row>
    <row r="70" spans="4:8" x14ac:dyDescent="0.2">
      <c r="D70" s="1"/>
      <c r="F70" s="11" t="s">
        <v>76</v>
      </c>
      <c r="G70" s="10">
        <v>-0.52620352200220677</v>
      </c>
      <c r="H70" s="12">
        <f t="shared" si="2"/>
        <v>-5.2620352200220674E-3</v>
      </c>
    </row>
    <row r="71" spans="4:8" x14ac:dyDescent="0.2">
      <c r="D71" s="1"/>
      <c r="F71" s="11" t="s">
        <v>77</v>
      </c>
      <c r="G71" s="10">
        <v>-0.51512245588926087</v>
      </c>
      <c r="H71" s="12">
        <f t="shared" si="2"/>
        <v>-5.1512245588926087E-3</v>
      </c>
    </row>
    <row r="72" spans="4:8" x14ac:dyDescent="0.2">
      <c r="D72" s="1"/>
      <c r="F72" s="11" t="s">
        <v>78</v>
      </c>
      <c r="G72" s="10">
        <v>-0.50420585700256559</v>
      </c>
      <c r="H72" s="12">
        <f t="shared" si="2"/>
        <v>-5.0420585700256563E-3</v>
      </c>
    </row>
    <row r="73" spans="4:8" x14ac:dyDescent="0.2">
      <c r="D73" s="1"/>
      <c r="F73" s="11" t="s">
        <v>79</v>
      </c>
      <c r="G73" s="10">
        <v>-0.5036617966423107</v>
      </c>
      <c r="H73" s="12">
        <f t="shared" si="2"/>
        <v>-5.0366179664231066E-3</v>
      </c>
    </row>
    <row r="74" spans="4:8" x14ac:dyDescent="0.2">
      <c r="D74" s="1"/>
      <c r="F74" s="11" t="s">
        <v>80</v>
      </c>
      <c r="G74" s="10">
        <v>-0.44731997442431104</v>
      </c>
      <c r="H74" s="12">
        <f t="shared" si="2"/>
        <v>-4.4731997442431105E-3</v>
      </c>
    </row>
    <row r="75" spans="4:8" x14ac:dyDescent="0.2">
      <c r="D75" s="1"/>
      <c r="F75" s="11" t="s">
        <v>81</v>
      </c>
      <c r="G75" s="10">
        <v>-0.44044253794432919</v>
      </c>
      <c r="H75" s="12">
        <f t="shared" ref="H75:H106" si="3">IF(F75="","",G75/100)</f>
        <v>-4.4044253794432919E-3</v>
      </c>
    </row>
    <row r="76" spans="4:8" x14ac:dyDescent="0.2">
      <c r="D76" s="1"/>
      <c r="F76" s="11" t="s">
        <v>82</v>
      </c>
      <c r="G76" s="10">
        <v>-0.41983486389059421</v>
      </c>
      <c r="H76" s="12">
        <f t="shared" si="3"/>
        <v>-4.1983486389059422E-3</v>
      </c>
    </row>
    <row r="77" spans="4:8" x14ac:dyDescent="0.2">
      <c r="D77" s="1"/>
      <c r="F77" s="11" t="s">
        <v>83</v>
      </c>
      <c r="G77" s="10">
        <v>-0.36020543203393712</v>
      </c>
      <c r="H77" s="12">
        <f t="shared" si="3"/>
        <v>-3.6020543203393713E-3</v>
      </c>
    </row>
    <row r="78" spans="4:8" x14ac:dyDescent="0.2">
      <c r="D78" s="1"/>
      <c r="F78" s="11" t="s">
        <v>84</v>
      </c>
      <c r="G78" s="10">
        <v>-0.32502367168442103</v>
      </c>
      <c r="H78" s="12">
        <f t="shared" si="3"/>
        <v>-3.2502367168442104E-3</v>
      </c>
    </row>
    <row r="79" spans="4:8" x14ac:dyDescent="0.2">
      <c r="D79" s="1"/>
      <c r="F79" s="11" t="s">
        <v>85</v>
      </c>
      <c r="G79" s="10">
        <v>-0.28055145612446619</v>
      </c>
      <c r="H79" s="12">
        <f t="shared" si="3"/>
        <v>-2.8055145612446621E-3</v>
      </c>
    </row>
    <row r="80" spans="4:8" x14ac:dyDescent="0.2">
      <c r="D80" s="1"/>
      <c r="F80" s="11" t="s">
        <v>9</v>
      </c>
      <c r="G80" s="10">
        <v>-0.22336106629355884</v>
      </c>
      <c r="H80" s="12">
        <f t="shared" si="3"/>
        <v>-2.2336106629355884E-3</v>
      </c>
    </row>
    <row r="81" spans="4:8" x14ac:dyDescent="0.2">
      <c r="D81" s="1"/>
      <c r="F81" s="11"/>
      <c r="G81" s="11"/>
      <c r="H81" s="13"/>
    </row>
    <row r="82" spans="4:8" x14ac:dyDescent="0.2">
      <c r="D82" s="1"/>
    </row>
    <row r="83" spans="4:8" x14ac:dyDescent="0.2">
      <c r="D83" s="1"/>
    </row>
    <row r="84" spans="4:8" x14ac:dyDescent="0.2">
      <c r="D84" s="1"/>
      <c r="G84" t="s">
        <v>5</v>
      </c>
    </row>
    <row r="85" spans="4:8" x14ac:dyDescent="0.2">
      <c r="D85" s="1"/>
    </row>
    <row r="86" spans="4:8" x14ac:dyDescent="0.2">
      <c r="D86" s="1"/>
      <c r="H86" s="1"/>
    </row>
    <row r="87" spans="4:8" x14ac:dyDescent="0.2">
      <c r="D87" s="1"/>
      <c r="H87" s="1"/>
    </row>
    <row r="88" spans="4:8" x14ac:dyDescent="0.2">
      <c r="D88" s="1"/>
      <c r="H88" s="1"/>
    </row>
    <row r="89" spans="4:8" x14ac:dyDescent="0.2">
      <c r="D89" s="1"/>
      <c r="H89" s="1"/>
    </row>
    <row r="90" spans="4:8" x14ac:dyDescent="0.2">
      <c r="D90" s="1"/>
      <c r="H90" s="1"/>
    </row>
    <row r="91" spans="4:8" x14ac:dyDescent="0.2">
      <c r="D91" s="1"/>
      <c r="H91" s="1"/>
    </row>
    <row r="92" spans="4:8" x14ac:dyDescent="0.2">
      <c r="D92" s="1"/>
      <c r="H92" s="1"/>
    </row>
    <row r="93" spans="4:8" x14ac:dyDescent="0.2">
      <c r="D93" s="1"/>
      <c r="H93" s="1"/>
    </row>
    <row r="94" spans="4:8" x14ac:dyDescent="0.2">
      <c r="D94" s="1"/>
      <c r="H94" s="1"/>
    </row>
    <row r="95" spans="4:8" x14ac:dyDescent="0.2">
      <c r="D95" s="1"/>
      <c r="H95" s="1"/>
    </row>
    <row r="96" spans="4:8" x14ac:dyDescent="0.2">
      <c r="D96" s="1"/>
      <c r="H96" s="1"/>
    </row>
    <row r="97" spans="4:8" x14ac:dyDescent="0.2">
      <c r="D97" s="1"/>
      <c r="H97" s="1"/>
    </row>
    <row r="98" spans="4:8" x14ac:dyDescent="0.2">
      <c r="D98" s="1"/>
      <c r="H98" s="1"/>
    </row>
    <row r="99" spans="4:8" x14ac:dyDescent="0.2">
      <c r="D99" s="1"/>
      <c r="H99" s="1"/>
    </row>
    <row r="100" spans="4:8" x14ac:dyDescent="0.2">
      <c r="D100" s="1"/>
      <c r="H100" s="1"/>
    </row>
    <row r="101" spans="4:8" x14ac:dyDescent="0.2">
      <c r="D101" s="1"/>
      <c r="H101" s="1"/>
    </row>
    <row r="102" spans="4:8" x14ac:dyDescent="0.2">
      <c r="D102" s="1"/>
      <c r="H102" s="1"/>
    </row>
    <row r="103" spans="4:8" x14ac:dyDescent="0.2">
      <c r="D103" s="1"/>
      <c r="H103" s="1"/>
    </row>
    <row r="104" spans="4:8" x14ac:dyDescent="0.2">
      <c r="D104" s="1"/>
      <c r="H104" s="1"/>
    </row>
    <row r="105" spans="4:8" x14ac:dyDescent="0.2">
      <c r="D105" s="1"/>
      <c r="H105" s="1"/>
    </row>
    <row r="106" spans="4:8" x14ac:dyDescent="0.2">
      <c r="D106" s="1"/>
      <c r="H106" s="1"/>
    </row>
    <row r="107" spans="4:8" x14ac:dyDescent="0.2">
      <c r="D107" s="1"/>
      <c r="H107" s="1"/>
    </row>
    <row r="108" spans="4:8" x14ac:dyDescent="0.2">
      <c r="D108" s="1"/>
      <c r="H108" s="1"/>
    </row>
    <row r="109" spans="4:8" x14ac:dyDescent="0.2">
      <c r="D109" s="1"/>
      <c r="H109" s="1"/>
    </row>
    <row r="110" spans="4:8" x14ac:dyDescent="0.2">
      <c r="D110" s="1"/>
      <c r="H110" s="1"/>
    </row>
    <row r="111" spans="4:8" x14ac:dyDescent="0.2">
      <c r="D111" s="1"/>
      <c r="H111" s="1"/>
    </row>
    <row r="112" spans="4:8" x14ac:dyDescent="0.2">
      <c r="D112" s="1"/>
      <c r="H112" s="1"/>
    </row>
    <row r="113" spans="4:8" x14ac:dyDescent="0.2">
      <c r="D113" s="1"/>
      <c r="H113" s="1"/>
    </row>
    <row r="114" spans="4:8" x14ac:dyDescent="0.2">
      <c r="D114" s="1"/>
      <c r="H114" s="1"/>
    </row>
    <row r="115" spans="4:8" x14ac:dyDescent="0.2">
      <c r="D115" s="1"/>
      <c r="H115" s="1"/>
    </row>
    <row r="116" spans="4:8" x14ac:dyDescent="0.2">
      <c r="D116" s="1"/>
      <c r="H116" s="1"/>
    </row>
    <row r="117" spans="4:8" x14ac:dyDescent="0.2">
      <c r="D117" s="1"/>
      <c r="H117" s="1"/>
    </row>
    <row r="118" spans="4:8" x14ac:dyDescent="0.2">
      <c r="D118" s="1"/>
      <c r="H118" s="1"/>
    </row>
    <row r="119" spans="4:8" x14ac:dyDescent="0.2">
      <c r="D119" s="1"/>
      <c r="H119" s="1"/>
    </row>
    <row r="120" spans="4:8" x14ac:dyDescent="0.2">
      <c r="D120" s="1"/>
      <c r="H120" s="1"/>
    </row>
    <row r="121" spans="4:8" x14ac:dyDescent="0.2">
      <c r="D121" s="1"/>
      <c r="H121" s="1"/>
    </row>
    <row r="122" spans="4:8" x14ac:dyDescent="0.2">
      <c r="D122" s="1"/>
      <c r="H122" s="1"/>
    </row>
    <row r="123" spans="4:8" x14ac:dyDescent="0.2">
      <c r="D123" s="1"/>
      <c r="H123" s="1"/>
    </row>
    <row r="124" spans="4:8" x14ac:dyDescent="0.2">
      <c r="D124" s="1"/>
      <c r="H124" s="1"/>
    </row>
    <row r="125" spans="4:8" x14ac:dyDescent="0.2">
      <c r="D125" s="1"/>
      <c r="H125" s="1"/>
    </row>
    <row r="126" spans="4:8" x14ac:dyDescent="0.2">
      <c r="D126" s="1"/>
      <c r="H126" s="1"/>
    </row>
    <row r="127" spans="4:8" x14ac:dyDescent="0.2">
      <c r="D127" s="1"/>
      <c r="H127" s="1"/>
    </row>
    <row r="128" spans="4:8" x14ac:dyDescent="0.2">
      <c r="D128" s="1"/>
      <c r="H128" s="1"/>
    </row>
    <row r="129" spans="4:8" x14ac:dyDescent="0.2">
      <c r="D129" s="1"/>
      <c r="H129" s="1"/>
    </row>
    <row r="130" spans="4:8" x14ac:dyDescent="0.2">
      <c r="D130" s="1"/>
      <c r="H130" s="1"/>
    </row>
    <row r="131" spans="4:8" x14ac:dyDescent="0.2">
      <c r="D131" s="1"/>
      <c r="H131" s="1"/>
    </row>
    <row r="132" spans="4:8" x14ac:dyDescent="0.2">
      <c r="D132" s="1"/>
      <c r="H132" s="1"/>
    </row>
    <row r="133" spans="4:8" x14ac:dyDescent="0.2">
      <c r="D133" s="1"/>
      <c r="H133" s="1"/>
    </row>
    <row r="134" spans="4:8" x14ac:dyDescent="0.2">
      <c r="D134" s="1"/>
      <c r="H134" s="1"/>
    </row>
    <row r="135" spans="4:8" x14ac:dyDescent="0.2">
      <c r="D135" s="1"/>
      <c r="H135" s="1"/>
    </row>
    <row r="136" spans="4:8" x14ac:dyDescent="0.2">
      <c r="D136" s="1"/>
      <c r="H136" s="1"/>
    </row>
    <row r="137" spans="4:8" x14ac:dyDescent="0.2">
      <c r="D137" s="1"/>
      <c r="H137" s="1"/>
    </row>
    <row r="138" spans="4:8" x14ac:dyDescent="0.2">
      <c r="D138" s="1"/>
      <c r="H138" s="1"/>
    </row>
    <row r="139" spans="4:8" x14ac:dyDescent="0.2">
      <c r="D139" s="1"/>
      <c r="H139" s="1"/>
    </row>
    <row r="140" spans="4:8" x14ac:dyDescent="0.2">
      <c r="D140" s="1"/>
      <c r="H140" s="1"/>
    </row>
    <row r="141" spans="4:8" x14ac:dyDescent="0.2">
      <c r="D141" s="1"/>
      <c r="H141" s="1"/>
    </row>
    <row r="142" spans="4:8" x14ac:dyDescent="0.2">
      <c r="D142" s="1"/>
      <c r="H142" s="1"/>
    </row>
    <row r="143" spans="4:8" x14ac:dyDescent="0.2">
      <c r="D143" s="1"/>
      <c r="H143" s="1"/>
    </row>
    <row r="144" spans="4:8" x14ac:dyDescent="0.2">
      <c r="D144" s="1"/>
      <c r="H144" s="1"/>
    </row>
    <row r="145" spans="4:8" x14ac:dyDescent="0.2">
      <c r="D145" s="1"/>
      <c r="H145" s="1"/>
    </row>
    <row r="146" spans="4:8" x14ac:dyDescent="0.2">
      <c r="D146" s="1"/>
      <c r="H146" s="1"/>
    </row>
    <row r="147" spans="4:8" x14ac:dyDescent="0.2">
      <c r="D147" s="1"/>
      <c r="H147" s="1"/>
    </row>
    <row r="148" spans="4:8" x14ac:dyDescent="0.2">
      <c r="D148" s="1"/>
      <c r="H148" s="1"/>
    </row>
    <row r="149" spans="4:8" x14ac:dyDescent="0.2">
      <c r="D149" s="1"/>
      <c r="H149" s="1"/>
    </row>
    <row r="150" spans="4:8" x14ac:dyDescent="0.2">
      <c r="D150" s="1"/>
      <c r="H150" s="1"/>
    </row>
    <row r="151" spans="4:8" x14ac:dyDescent="0.2">
      <c r="D151" s="1"/>
      <c r="H151" s="1"/>
    </row>
    <row r="152" spans="4:8" x14ac:dyDescent="0.2">
      <c r="D152" s="1"/>
      <c r="H152" s="1"/>
    </row>
    <row r="153" spans="4:8" x14ac:dyDescent="0.2">
      <c r="D153" s="1"/>
      <c r="H153" s="1"/>
    </row>
    <row r="154" spans="4:8" x14ac:dyDescent="0.2">
      <c r="D154" s="1"/>
      <c r="H154" s="1"/>
    </row>
    <row r="155" spans="4:8" x14ac:dyDescent="0.2">
      <c r="D155" s="1"/>
      <c r="H155" s="1"/>
    </row>
    <row r="156" spans="4:8" x14ac:dyDescent="0.2">
      <c r="D156" s="1"/>
      <c r="H156" s="1"/>
    </row>
    <row r="157" spans="4:8" x14ac:dyDescent="0.2">
      <c r="D157" s="1"/>
      <c r="H157" s="1"/>
    </row>
    <row r="158" spans="4:8" x14ac:dyDescent="0.2">
      <c r="D158" s="1"/>
      <c r="H158" s="1"/>
    </row>
    <row r="159" spans="4:8" x14ac:dyDescent="0.2">
      <c r="D159" s="1"/>
      <c r="H159" s="1"/>
    </row>
    <row r="160" spans="4:8" x14ac:dyDescent="0.2">
      <c r="D160" s="1"/>
      <c r="H160" s="1"/>
    </row>
    <row r="161" spans="4:8" x14ac:dyDescent="0.2">
      <c r="D161" s="1"/>
      <c r="H161" s="1"/>
    </row>
    <row r="162" spans="4:8" x14ac:dyDescent="0.2">
      <c r="D162" s="1"/>
      <c r="H162" s="1"/>
    </row>
    <row r="163" spans="4:8" x14ac:dyDescent="0.2">
      <c r="D163" s="1"/>
      <c r="H163" s="1"/>
    </row>
    <row r="164" spans="4:8" x14ac:dyDescent="0.2">
      <c r="D164" s="1"/>
      <c r="H164" s="1"/>
    </row>
    <row r="165" spans="4:8" x14ac:dyDescent="0.2">
      <c r="D165" s="1"/>
      <c r="H165" s="1"/>
    </row>
    <row r="166" spans="4:8" x14ac:dyDescent="0.2">
      <c r="D166" s="1"/>
      <c r="H166" s="1"/>
    </row>
    <row r="167" spans="4:8" x14ac:dyDescent="0.2">
      <c r="D167" s="1"/>
      <c r="H167" s="1"/>
    </row>
    <row r="168" spans="4:8" x14ac:dyDescent="0.2">
      <c r="D168" s="1"/>
      <c r="H168" s="1"/>
    </row>
    <row r="169" spans="4:8" x14ac:dyDescent="0.2">
      <c r="D169" s="1"/>
      <c r="H169" s="1"/>
    </row>
    <row r="170" spans="4:8" x14ac:dyDescent="0.2">
      <c r="D170" s="1"/>
      <c r="H170" s="1"/>
    </row>
    <row r="171" spans="4:8" x14ac:dyDescent="0.2">
      <c r="D171" s="1"/>
      <c r="H171" s="1"/>
    </row>
    <row r="172" spans="4:8" x14ac:dyDescent="0.2">
      <c r="D172" s="1"/>
      <c r="H172" s="1"/>
    </row>
    <row r="173" spans="4:8" x14ac:dyDescent="0.2">
      <c r="D173" s="1"/>
      <c r="H173" s="1"/>
    </row>
    <row r="174" spans="4:8" x14ac:dyDescent="0.2">
      <c r="D174" s="1"/>
      <c r="H174" s="1"/>
    </row>
    <row r="175" spans="4:8" x14ac:dyDescent="0.2">
      <c r="D175" s="1"/>
      <c r="H175" s="1"/>
    </row>
    <row r="176" spans="4:8" x14ac:dyDescent="0.2">
      <c r="H176" s="1"/>
    </row>
    <row r="177" spans="8:8" x14ac:dyDescent="0.2">
      <c r="H177" s="1"/>
    </row>
    <row r="178" spans="8:8" x14ac:dyDescent="0.2">
      <c r="H178" s="1"/>
    </row>
    <row r="179" spans="8:8" x14ac:dyDescent="0.2">
      <c r="H179" s="1"/>
    </row>
    <row r="180" spans="8:8" x14ac:dyDescent="0.2">
      <c r="H180" s="1"/>
    </row>
    <row r="181" spans="8:8" x14ac:dyDescent="0.2">
      <c r="H181" s="1"/>
    </row>
    <row r="182" spans="8:8" x14ac:dyDescent="0.2">
      <c r="H182" s="1"/>
    </row>
    <row r="183" spans="8:8" x14ac:dyDescent="0.2">
      <c r="H183" s="1"/>
    </row>
    <row r="184" spans="8:8" x14ac:dyDescent="0.2">
      <c r="H184" s="1"/>
    </row>
    <row r="185" spans="8:8" x14ac:dyDescent="0.2">
      <c r="H185" s="1"/>
    </row>
    <row r="186" spans="8:8" x14ac:dyDescent="0.2">
      <c r="H186" s="1"/>
    </row>
    <row r="187" spans="8:8" x14ac:dyDescent="0.2">
      <c r="H187" s="1"/>
    </row>
    <row r="188" spans="8:8" x14ac:dyDescent="0.2">
      <c r="H188" s="1"/>
    </row>
    <row r="189" spans="8:8" x14ac:dyDescent="0.2">
      <c r="H189" s="1"/>
    </row>
    <row r="190" spans="8:8" x14ac:dyDescent="0.2">
      <c r="H190" s="1"/>
    </row>
    <row r="191" spans="8:8" x14ac:dyDescent="0.2">
      <c r="H191" s="1"/>
    </row>
    <row r="192" spans="8:8" x14ac:dyDescent="0.2">
      <c r="H192" s="1"/>
    </row>
    <row r="193" spans="8:8" x14ac:dyDescent="0.2">
      <c r="H193" s="1"/>
    </row>
    <row r="194" spans="8:8" x14ac:dyDescent="0.2">
      <c r="H194" s="1"/>
    </row>
    <row r="195" spans="8:8" x14ac:dyDescent="0.2">
      <c r="H195" s="1"/>
    </row>
    <row r="196" spans="8:8" x14ac:dyDescent="0.2">
      <c r="H196" s="1"/>
    </row>
    <row r="197" spans="8:8" x14ac:dyDescent="0.2">
      <c r="H197" s="1"/>
    </row>
    <row r="198" spans="8:8" x14ac:dyDescent="0.2">
      <c r="H198" s="1"/>
    </row>
    <row r="199" spans="8:8" x14ac:dyDescent="0.2">
      <c r="H199" s="1"/>
    </row>
    <row r="200" spans="8:8" x14ac:dyDescent="0.2">
      <c r="H200" s="1"/>
    </row>
    <row r="201" spans="8:8" x14ac:dyDescent="0.2">
      <c r="H201" s="1"/>
    </row>
    <row r="202" spans="8:8" x14ac:dyDescent="0.2">
      <c r="H202" s="1"/>
    </row>
    <row r="203" spans="8:8" x14ac:dyDescent="0.2">
      <c r="H203" s="1"/>
    </row>
    <row r="204" spans="8:8" x14ac:dyDescent="0.2">
      <c r="H204" s="1"/>
    </row>
    <row r="205" spans="8:8" x14ac:dyDescent="0.2">
      <c r="H205" s="1"/>
    </row>
    <row r="206" spans="8:8" x14ac:dyDescent="0.2">
      <c r="H206" s="1"/>
    </row>
    <row r="207" spans="8:8" x14ac:dyDescent="0.2">
      <c r="H207" s="1"/>
    </row>
    <row r="208" spans="8:8" x14ac:dyDescent="0.2">
      <c r="H208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F19BB-E553-43BB-81C1-D22E0CC77CE4}">
  <dimension ref="A1:Q209"/>
  <sheetViews>
    <sheetView workbookViewId="0"/>
  </sheetViews>
  <sheetFormatPr baseColWidth="10" defaultColWidth="8.83203125" defaultRowHeight="15" x14ac:dyDescent="0.2"/>
  <cols>
    <col min="2" max="2" width="28.5" customWidth="1"/>
    <col min="3" max="3" width="0" hidden="1" customWidth="1"/>
    <col min="4" max="4" width="15.6640625" bestFit="1" customWidth="1"/>
    <col min="6" max="6" width="28.5" customWidth="1"/>
    <col min="7" max="7" width="0" hidden="1" customWidth="1"/>
    <col min="8" max="8" width="15.6640625" bestFit="1" customWidth="1"/>
    <col min="11" max="11" width="28.5" customWidth="1"/>
    <col min="12" max="12" width="15.6640625" hidden="1" customWidth="1"/>
    <col min="13" max="13" width="15.6640625" bestFit="1" customWidth="1"/>
    <col min="15" max="15" width="28.5" customWidth="1"/>
    <col min="16" max="16" width="15.6640625" hidden="1" customWidth="1"/>
    <col min="17" max="17" width="15.6640625" bestFit="1" customWidth="1"/>
  </cols>
  <sheetData>
    <row r="1" spans="1:17" ht="19" x14ac:dyDescent="0.25">
      <c r="A1" s="14" t="s">
        <v>0</v>
      </c>
    </row>
    <row r="2" spans="1:17" x14ac:dyDescent="0.2">
      <c r="A2" s="17" t="s">
        <v>12</v>
      </c>
    </row>
    <row r="3" spans="1:17" x14ac:dyDescent="0.2">
      <c r="A3" s="18" t="s">
        <v>6</v>
      </c>
    </row>
    <row r="4" spans="1:17" x14ac:dyDescent="0.2">
      <c r="A4" s="18" t="s">
        <v>7</v>
      </c>
    </row>
    <row r="6" spans="1:17" x14ac:dyDescent="0.2">
      <c r="B6" s="2" t="s">
        <v>3</v>
      </c>
      <c r="C6" s="2"/>
      <c r="D6" s="2"/>
      <c r="E6" s="2"/>
      <c r="F6" s="2" t="s">
        <v>4</v>
      </c>
      <c r="K6" s="2" t="s">
        <v>3</v>
      </c>
      <c r="O6" s="2" t="s">
        <v>4</v>
      </c>
    </row>
    <row r="7" spans="1:17" x14ac:dyDescent="0.2">
      <c r="K7" s="2"/>
      <c r="O7" s="2"/>
    </row>
    <row r="8" spans="1:17" ht="16" thickBot="1" x14ac:dyDescent="0.25"/>
    <row r="9" spans="1:17" ht="16" thickBot="1" x14ac:dyDescent="0.25">
      <c r="B9" s="3" t="s">
        <v>15</v>
      </c>
      <c r="C9" s="4"/>
      <c r="D9" s="4" t="s">
        <v>2</v>
      </c>
      <c r="E9" s="16"/>
      <c r="F9" s="4" t="s">
        <v>15</v>
      </c>
      <c r="G9" s="4"/>
      <c r="H9" s="5" t="s">
        <v>2</v>
      </c>
      <c r="I9" s="2"/>
      <c r="J9" s="2"/>
      <c r="K9" s="3" t="s">
        <v>15</v>
      </c>
      <c r="L9" s="4" t="s">
        <v>2</v>
      </c>
      <c r="M9" s="4" t="s">
        <v>2</v>
      </c>
      <c r="N9" s="4"/>
      <c r="O9" s="4" t="s">
        <v>15</v>
      </c>
      <c r="P9" s="5" t="s">
        <v>2</v>
      </c>
      <c r="Q9" s="5" t="s">
        <v>2</v>
      </c>
    </row>
    <row r="10" spans="1:17" x14ac:dyDescent="0.2">
      <c r="B10" s="6"/>
      <c r="C10" s="7"/>
      <c r="D10" s="7"/>
      <c r="E10" s="19"/>
      <c r="F10" s="7"/>
      <c r="G10" s="7"/>
      <c r="H10" s="8"/>
      <c r="K10" s="6"/>
      <c r="L10" s="7"/>
      <c r="M10" s="7"/>
      <c r="N10" s="15"/>
      <c r="O10" s="7"/>
      <c r="P10" s="7"/>
      <c r="Q10" s="8"/>
    </row>
    <row r="11" spans="1:17" x14ac:dyDescent="0.2">
      <c r="B11" s="9" t="s">
        <v>189</v>
      </c>
      <c r="C11" s="10">
        <v>10.427609093334581</v>
      </c>
      <c r="D11" s="10">
        <f t="shared" ref="D11:D49" si="0">IF(B11="","",(C11/100))</f>
        <v>0.10427609093334582</v>
      </c>
      <c r="F11" s="11" t="s">
        <v>16</v>
      </c>
      <c r="G11" s="10">
        <v>-5.973303024824042</v>
      </c>
      <c r="H11" s="12">
        <f t="shared" ref="H11:H42" si="1">IF(F11="","",G11/100)</f>
        <v>-5.9733030248240421E-2</v>
      </c>
      <c r="K11" s="20" t="s">
        <v>11</v>
      </c>
      <c r="L11" s="11"/>
      <c r="M11" s="10" t="str">
        <f>IF(L11="","",L11/100)</f>
        <v/>
      </c>
      <c r="O11" s="21" t="s">
        <v>11</v>
      </c>
      <c r="P11" s="11"/>
      <c r="Q11" s="12" t="str">
        <f>IF(P11="","",P11/100)</f>
        <v/>
      </c>
    </row>
    <row r="12" spans="1:17" x14ac:dyDescent="0.2">
      <c r="B12" s="9" t="s">
        <v>190</v>
      </c>
      <c r="C12" s="10">
        <v>7.6935835776592301</v>
      </c>
      <c r="D12" s="10">
        <f t="shared" si="0"/>
        <v>7.6935835776592298E-2</v>
      </c>
      <c r="F12" s="11" t="s">
        <v>17</v>
      </c>
      <c r="G12" s="10">
        <v>-5.4122233600522378</v>
      </c>
      <c r="H12" s="12">
        <f t="shared" si="1"/>
        <v>-5.4122233600522381E-2</v>
      </c>
      <c r="K12" s="9"/>
      <c r="L12" s="11"/>
      <c r="M12" s="11"/>
      <c r="O12" s="11"/>
      <c r="P12" s="11"/>
      <c r="Q12" s="13"/>
    </row>
    <row r="13" spans="1:17" x14ac:dyDescent="0.2">
      <c r="B13" s="9" t="s">
        <v>191</v>
      </c>
      <c r="C13" s="10">
        <v>6.6926821866756008</v>
      </c>
      <c r="D13" s="10">
        <f t="shared" si="0"/>
        <v>6.6926821866756012E-2</v>
      </c>
      <c r="F13" s="11" t="s">
        <v>121</v>
      </c>
      <c r="G13" s="10">
        <v>-4.7009188450550372</v>
      </c>
      <c r="H13" s="12">
        <f t="shared" si="1"/>
        <v>-4.7009188450550375E-2</v>
      </c>
      <c r="I13" s="1"/>
    </row>
    <row r="14" spans="1:17" x14ac:dyDescent="0.2">
      <c r="B14" s="9" t="s">
        <v>192</v>
      </c>
      <c r="C14" s="10">
        <v>5.5622156661108972</v>
      </c>
      <c r="D14" s="10">
        <f t="shared" si="0"/>
        <v>5.5622156661108972E-2</v>
      </c>
      <c r="F14" s="11" t="s">
        <v>122</v>
      </c>
      <c r="G14" s="10">
        <v>-4.5613684035814783</v>
      </c>
      <c r="H14" s="12">
        <f t="shared" si="1"/>
        <v>-4.5613684035814783E-2</v>
      </c>
      <c r="I14" s="1"/>
    </row>
    <row r="15" spans="1:17" x14ac:dyDescent="0.2">
      <c r="B15" s="9" t="s">
        <v>193</v>
      </c>
      <c r="C15" s="10">
        <v>5.5479972315174511</v>
      </c>
      <c r="D15" s="10">
        <f t="shared" si="0"/>
        <v>5.5479972315174514E-2</v>
      </c>
      <c r="F15" s="11" t="s">
        <v>123</v>
      </c>
      <c r="G15" s="10">
        <v>-4.5040153508061271</v>
      </c>
      <c r="H15" s="12">
        <f t="shared" si="1"/>
        <v>-4.5040153508061273E-2</v>
      </c>
      <c r="I15" s="1"/>
    </row>
    <row r="16" spans="1:17" x14ac:dyDescent="0.2">
      <c r="B16" s="9" t="s">
        <v>194</v>
      </c>
      <c r="C16" s="10">
        <v>5.2774866730442138</v>
      </c>
      <c r="D16" s="10">
        <f t="shared" si="0"/>
        <v>5.2774866730442141E-2</v>
      </c>
      <c r="F16" s="11" t="s">
        <v>124</v>
      </c>
      <c r="G16" s="10">
        <v>-4.4896258564182894</v>
      </c>
      <c r="H16" s="12">
        <f t="shared" si="1"/>
        <v>-4.4896258564182896E-2</v>
      </c>
      <c r="I16" s="1"/>
    </row>
    <row r="17" spans="2:8" x14ac:dyDescent="0.2">
      <c r="B17" s="9" t="s">
        <v>195</v>
      </c>
      <c r="C17" s="10">
        <v>4.9969701922286207</v>
      </c>
      <c r="D17" s="10">
        <f t="shared" si="0"/>
        <v>4.9969701922286204E-2</v>
      </c>
      <c r="F17" s="11" t="s">
        <v>125</v>
      </c>
      <c r="G17" s="10">
        <v>-4.1448738898746678</v>
      </c>
      <c r="H17" s="12">
        <f t="shared" si="1"/>
        <v>-4.144873889874668E-2</v>
      </c>
    </row>
    <row r="18" spans="2:8" x14ac:dyDescent="0.2">
      <c r="B18" s="9" t="s">
        <v>196</v>
      </c>
      <c r="C18" s="10">
        <v>4.114267718792167</v>
      </c>
      <c r="D18" s="10">
        <f t="shared" si="0"/>
        <v>4.1142677187921667E-2</v>
      </c>
      <c r="F18" s="11" t="s">
        <v>126</v>
      </c>
      <c r="G18" s="10">
        <v>-3.9166794302020596</v>
      </c>
      <c r="H18" s="12">
        <f t="shared" si="1"/>
        <v>-3.9166794302020594E-2</v>
      </c>
    </row>
    <row r="19" spans="2:8" x14ac:dyDescent="0.2">
      <c r="B19" s="9" t="s">
        <v>197</v>
      </c>
      <c r="C19" s="10">
        <v>3.7923227764295206</v>
      </c>
      <c r="D19" s="10">
        <f t="shared" si="0"/>
        <v>3.7923227764295207E-2</v>
      </c>
      <c r="F19" s="11" t="s">
        <v>127</v>
      </c>
      <c r="G19" s="10">
        <v>-3.8800047654481853</v>
      </c>
      <c r="H19" s="12">
        <f t="shared" si="1"/>
        <v>-3.8800047654481855E-2</v>
      </c>
    </row>
    <row r="20" spans="2:8" x14ac:dyDescent="0.2">
      <c r="B20" s="9" t="s">
        <v>198</v>
      </c>
      <c r="C20" s="10">
        <v>3.1723219992012024</v>
      </c>
      <c r="D20" s="10">
        <f t="shared" si="0"/>
        <v>3.1723219992012025E-2</v>
      </c>
      <c r="F20" s="11" t="s">
        <v>128</v>
      </c>
      <c r="G20" s="10">
        <v>-3.4643571575274645</v>
      </c>
      <c r="H20" s="12">
        <f t="shared" si="1"/>
        <v>-3.4643571575274645E-2</v>
      </c>
    </row>
    <row r="21" spans="2:8" x14ac:dyDescent="0.2">
      <c r="B21" s="9" t="s">
        <v>199</v>
      </c>
      <c r="C21" s="10">
        <v>2.9580406341239374</v>
      </c>
      <c r="D21" s="10">
        <f t="shared" si="0"/>
        <v>2.9580406341239374E-2</v>
      </c>
      <c r="F21" s="11" t="s">
        <v>129</v>
      </c>
      <c r="G21" s="10">
        <v>-3.1988082315684001</v>
      </c>
      <c r="H21" s="12">
        <f t="shared" si="1"/>
        <v>-3.1988082315684001E-2</v>
      </c>
    </row>
    <row r="22" spans="2:8" x14ac:dyDescent="0.2">
      <c r="B22" s="9" t="s">
        <v>200</v>
      </c>
      <c r="C22" s="10">
        <v>2.9067463416621426</v>
      </c>
      <c r="D22" s="10">
        <f t="shared" si="0"/>
        <v>2.9067463416621427E-2</v>
      </c>
      <c r="F22" s="11" t="s">
        <v>130</v>
      </c>
      <c r="G22" s="10">
        <v>-2.77266615364428</v>
      </c>
      <c r="H22" s="12">
        <f t="shared" si="1"/>
        <v>-2.77266615364428E-2</v>
      </c>
    </row>
    <row r="23" spans="2:8" x14ac:dyDescent="0.2">
      <c r="B23" s="9" t="s">
        <v>201</v>
      </c>
      <c r="C23" s="10">
        <v>2.7309970286623573</v>
      </c>
      <c r="D23" s="10">
        <f t="shared" si="0"/>
        <v>2.7309970286623571E-2</v>
      </c>
      <c r="F23" s="11" t="s">
        <v>131</v>
      </c>
      <c r="G23" s="10">
        <v>-2.7529377893896254</v>
      </c>
      <c r="H23" s="12">
        <f t="shared" si="1"/>
        <v>-2.7529377893896253E-2</v>
      </c>
    </row>
    <row r="24" spans="2:8" x14ac:dyDescent="0.2">
      <c r="B24" s="9" t="s">
        <v>202</v>
      </c>
      <c r="C24" s="10">
        <v>2.5648691691948944</v>
      </c>
      <c r="D24" s="10">
        <f t="shared" si="0"/>
        <v>2.5648691691948944E-2</v>
      </c>
      <c r="F24" s="11" t="s">
        <v>132</v>
      </c>
      <c r="G24" s="10">
        <v>-2.6869089863363786</v>
      </c>
      <c r="H24" s="12">
        <f t="shared" si="1"/>
        <v>-2.6869089863363785E-2</v>
      </c>
    </row>
    <row r="25" spans="2:8" x14ac:dyDescent="0.2">
      <c r="B25" s="9" t="s">
        <v>203</v>
      </c>
      <c r="C25" s="10">
        <v>2.514208405827949</v>
      </c>
      <c r="D25" s="10">
        <f t="shared" si="0"/>
        <v>2.5142084058279491E-2</v>
      </c>
      <c r="F25" s="11" t="s">
        <v>133</v>
      </c>
      <c r="G25" s="10">
        <v>-2.6329349370127533</v>
      </c>
      <c r="H25" s="12">
        <f t="shared" si="1"/>
        <v>-2.6329349370127531E-2</v>
      </c>
    </row>
    <row r="26" spans="2:8" x14ac:dyDescent="0.2">
      <c r="B26" s="9" t="s">
        <v>204</v>
      </c>
      <c r="C26" s="10">
        <v>2.4286427699734028</v>
      </c>
      <c r="D26" s="10">
        <f t="shared" si="0"/>
        <v>2.4286427699734027E-2</v>
      </c>
      <c r="F26" s="11" t="s">
        <v>134</v>
      </c>
      <c r="G26" s="10">
        <v>-2.526461699951791</v>
      </c>
      <c r="H26" s="12">
        <f t="shared" si="1"/>
        <v>-2.526461699951791E-2</v>
      </c>
    </row>
    <row r="27" spans="2:8" x14ac:dyDescent="0.2">
      <c r="B27" s="9" t="s">
        <v>205</v>
      </c>
      <c r="C27" s="10">
        <v>2.3710659168585337</v>
      </c>
      <c r="D27" s="10">
        <f t="shared" si="0"/>
        <v>2.3710659168585339E-2</v>
      </c>
      <c r="F27" s="11" t="s">
        <v>135</v>
      </c>
      <c r="G27" s="10">
        <v>-2.5247037743081715</v>
      </c>
      <c r="H27" s="12">
        <f t="shared" si="1"/>
        <v>-2.5247037743081714E-2</v>
      </c>
    </row>
    <row r="28" spans="2:8" x14ac:dyDescent="0.2">
      <c r="B28" s="9" t="s">
        <v>206</v>
      </c>
      <c r="C28" s="10">
        <v>2.132386289837457</v>
      </c>
      <c r="D28" s="10">
        <f t="shared" si="0"/>
        <v>2.1323862898374572E-2</v>
      </c>
      <c r="F28" s="11" t="s">
        <v>136</v>
      </c>
      <c r="G28" s="10">
        <v>-2.4642596398202143</v>
      </c>
      <c r="H28" s="12">
        <f t="shared" si="1"/>
        <v>-2.4642596398202144E-2</v>
      </c>
    </row>
    <row r="29" spans="2:8" x14ac:dyDescent="0.2">
      <c r="B29" s="9" t="s">
        <v>207</v>
      </c>
      <c r="C29" s="10">
        <v>2.1073622890838983</v>
      </c>
      <c r="D29" s="10">
        <f t="shared" si="0"/>
        <v>2.1073622890838983E-2</v>
      </c>
      <c r="F29" s="11" t="s">
        <v>137</v>
      </c>
      <c r="G29" s="10">
        <v>-2.3986233374554371</v>
      </c>
      <c r="H29" s="12">
        <f t="shared" si="1"/>
        <v>-2.3986233374554369E-2</v>
      </c>
    </row>
    <row r="30" spans="2:8" x14ac:dyDescent="0.2">
      <c r="B30" s="9" t="s">
        <v>208</v>
      </c>
      <c r="C30" s="10">
        <v>2.0931168178411013</v>
      </c>
      <c r="D30" s="10">
        <f t="shared" si="0"/>
        <v>2.0931168178411012E-2</v>
      </c>
      <c r="F30" s="11" t="s">
        <v>138</v>
      </c>
      <c r="G30" s="10">
        <v>-2.3616472882443462</v>
      </c>
      <c r="H30" s="12">
        <f t="shared" si="1"/>
        <v>-2.3616472882443462E-2</v>
      </c>
    </row>
    <row r="31" spans="2:8" x14ac:dyDescent="0.2">
      <c r="B31" s="9" t="s">
        <v>209</v>
      </c>
      <c r="C31" s="10">
        <v>2.0049387625386745</v>
      </c>
      <c r="D31" s="10">
        <f t="shared" si="0"/>
        <v>2.0049387625386744E-2</v>
      </c>
      <c r="F31" s="11" t="s">
        <v>139</v>
      </c>
      <c r="G31" s="10">
        <v>-2.3210498372603086</v>
      </c>
      <c r="H31" s="12">
        <f t="shared" si="1"/>
        <v>-2.3210498372603087E-2</v>
      </c>
    </row>
    <row r="32" spans="2:8" x14ac:dyDescent="0.2">
      <c r="B32" s="9" t="s">
        <v>210</v>
      </c>
      <c r="C32" s="10">
        <v>2.0042031707250647</v>
      </c>
      <c r="D32" s="10">
        <f t="shared" si="0"/>
        <v>2.0042031707250649E-2</v>
      </c>
      <c r="F32" s="11" t="s">
        <v>140</v>
      </c>
      <c r="G32" s="10">
        <v>-2.0469200976686563</v>
      </c>
      <c r="H32" s="12">
        <f t="shared" si="1"/>
        <v>-2.0469200976686565E-2</v>
      </c>
    </row>
    <row r="33" spans="2:8" x14ac:dyDescent="0.2">
      <c r="B33" s="9" t="s">
        <v>211</v>
      </c>
      <c r="C33" s="10">
        <v>1.9732465525992879</v>
      </c>
      <c r="D33" s="10">
        <f t="shared" si="0"/>
        <v>1.9732465525992879E-2</v>
      </c>
      <c r="F33" s="11" t="s">
        <v>141</v>
      </c>
      <c r="G33" s="10">
        <v>-2.0244483923219616</v>
      </c>
      <c r="H33" s="12">
        <f t="shared" si="1"/>
        <v>-2.0244483923219616E-2</v>
      </c>
    </row>
    <row r="34" spans="2:8" x14ac:dyDescent="0.2">
      <c r="B34" s="9" t="s">
        <v>212</v>
      </c>
      <c r="C34" s="10">
        <v>1.9687676311998532</v>
      </c>
      <c r="D34" s="10">
        <f t="shared" si="0"/>
        <v>1.9687676311998532E-2</v>
      </c>
      <c r="F34" s="11" t="s">
        <v>142</v>
      </c>
      <c r="G34" s="10">
        <v>-2.0177644303680498</v>
      </c>
      <c r="H34" s="12">
        <f t="shared" si="1"/>
        <v>-2.0177644303680499E-2</v>
      </c>
    </row>
    <row r="35" spans="2:8" x14ac:dyDescent="0.2">
      <c r="B35" s="9" t="s">
        <v>213</v>
      </c>
      <c r="C35" s="10">
        <v>1.9679593000080795</v>
      </c>
      <c r="D35" s="10">
        <f t="shared" si="0"/>
        <v>1.9679593000080795E-2</v>
      </c>
      <c r="F35" s="11" t="s">
        <v>143</v>
      </c>
      <c r="G35" s="10">
        <v>-1.9784020796763355</v>
      </c>
      <c r="H35" s="12">
        <f t="shared" si="1"/>
        <v>-1.9784020796763356E-2</v>
      </c>
    </row>
    <row r="36" spans="2:8" x14ac:dyDescent="0.2">
      <c r="B36" s="9" t="s">
        <v>214</v>
      </c>
      <c r="C36" s="10">
        <v>1.8891075484904203</v>
      </c>
      <c r="D36" s="10">
        <f t="shared" si="0"/>
        <v>1.8891075484904204E-2</v>
      </c>
      <c r="F36" s="11" t="s">
        <v>144</v>
      </c>
      <c r="G36" s="10">
        <v>-1.8882387174049113</v>
      </c>
      <c r="H36" s="12">
        <f t="shared" si="1"/>
        <v>-1.8882387174049112E-2</v>
      </c>
    </row>
    <row r="37" spans="2:8" x14ac:dyDescent="0.2">
      <c r="B37" s="9" t="s">
        <v>215</v>
      </c>
      <c r="C37" s="10">
        <v>1.8345429304936589</v>
      </c>
      <c r="D37" s="10">
        <f t="shared" si="0"/>
        <v>1.834542930493659E-2</v>
      </c>
      <c r="F37" s="11" t="s">
        <v>145</v>
      </c>
      <c r="G37" s="10">
        <v>-1.7990615339319025</v>
      </c>
      <c r="H37" s="12">
        <f t="shared" si="1"/>
        <v>-1.7990615339319026E-2</v>
      </c>
    </row>
    <row r="38" spans="2:8" x14ac:dyDescent="0.2">
      <c r="B38" s="9" t="s">
        <v>216</v>
      </c>
      <c r="C38" s="10">
        <v>1.7320716732346295</v>
      </c>
      <c r="D38" s="10">
        <f t="shared" si="0"/>
        <v>1.7320716732346295E-2</v>
      </c>
      <c r="F38" s="11" t="s">
        <v>146</v>
      </c>
      <c r="G38" s="10">
        <v>-1.7964748183797983</v>
      </c>
      <c r="H38" s="12">
        <f t="shared" si="1"/>
        <v>-1.7964748183797983E-2</v>
      </c>
    </row>
    <row r="39" spans="2:8" x14ac:dyDescent="0.2">
      <c r="B39" s="9" t="s">
        <v>217</v>
      </c>
      <c r="C39" s="10">
        <v>1.7131131127524628</v>
      </c>
      <c r="D39" s="10">
        <f t="shared" si="0"/>
        <v>1.7131131127524627E-2</v>
      </c>
      <c r="F39" s="11" t="s">
        <v>147</v>
      </c>
      <c r="G39" s="10">
        <v>-1.7604967451943221</v>
      </c>
      <c r="H39" s="12">
        <f t="shared" si="1"/>
        <v>-1.7604967451943222E-2</v>
      </c>
    </row>
    <row r="40" spans="2:8" x14ac:dyDescent="0.2">
      <c r="B40" s="9" t="s">
        <v>218</v>
      </c>
      <c r="C40" s="10">
        <v>1.6715227516109599</v>
      </c>
      <c r="D40" s="10">
        <f t="shared" si="0"/>
        <v>1.6715227516109599E-2</v>
      </c>
      <c r="F40" s="11" t="s">
        <v>148</v>
      </c>
      <c r="G40" s="10">
        <v>-1.7553441327263473</v>
      </c>
      <c r="H40" s="12">
        <f t="shared" si="1"/>
        <v>-1.7553441327263473E-2</v>
      </c>
    </row>
    <row r="41" spans="2:8" x14ac:dyDescent="0.2">
      <c r="B41" s="9" t="s">
        <v>219</v>
      </c>
      <c r="C41" s="10">
        <v>1.5563744582266428</v>
      </c>
      <c r="D41" s="10">
        <f t="shared" si="0"/>
        <v>1.5563744582266427E-2</v>
      </c>
      <c r="F41" s="11" t="s">
        <v>149</v>
      </c>
      <c r="G41" s="10">
        <v>-1.5900082141812351</v>
      </c>
      <c r="H41" s="12">
        <f t="shared" si="1"/>
        <v>-1.5900082141812349E-2</v>
      </c>
    </row>
    <row r="42" spans="2:8" x14ac:dyDescent="0.2">
      <c r="B42" s="9" t="s">
        <v>220</v>
      </c>
      <c r="C42" s="10">
        <v>1.5331280914256717</v>
      </c>
      <c r="D42" s="10">
        <f t="shared" si="0"/>
        <v>1.5331280914256718E-2</v>
      </c>
      <c r="F42" s="11" t="s">
        <v>150</v>
      </c>
      <c r="G42" s="10">
        <v>-1.5829300166525011</v>
      </c>
      <c r="H42" s="12">
        <f t="shared" si="1"/>
        <v>-1.582930016652501E-2</v>
      </c>
    </row>
    <row r="43" spans="2:8" x14ac:dyDescent="0.2">
      <c r="B43" s="9" t="s">
        <v>221</v>
      </c>
      <c r="C43" s="10">
        <v>1.4588145814784628</v>
      </c>
      <c r="D43" s="10">
        <f t="shared" si="0"/>
        <v>1.4588145814784627E-2</v>
      </c>
      <c r="F43" s="11" t="s">
        <v>151</v>
      </c>
      <c r="G43" s="10">
        <v>-1.5714085669877464</v>
      </c>
      <c r="H43" s="12">
        <f t="shared" ref="H43:H74" si="2">IF(F43="","",G43/100)</f>
        <v>-1.5714085669877465E-2</v>
      </c>
    </row>
    <row r="44" spans="2:8" x14ac:dyDescent="0.2">
      <c r="B44" s="9" t="s">
        <v>222</v>
      </c>
      <c r="C44" s="10">
        <v>1.4551015777060856</v>
      </c>
      <c r="D44" s="10">
        <f t="shared" si="0"/>
        <v>1.4551015777060855E-2</v>
      </c>
      <c r="F44" s="11" t="s">
        <v>152</v>
      </c>
      <c r="G44" s="10">
        <v>-1.515696647306741</v>
      </c>
      <c r="H44" s="12">
        <f t="shared" si="2"/>
        <v>-1.5156966473067411E-2</v>
      </c>
    </row>
    <row r="45" spans="2:8" x14ac:dyDescent="0.2">
      <c r="B45" s="9" t="s">
        <v>223</v>
      </c>
      <c r="C45" s="10">
        <v>1.1397703690977865</v>
      </c>
      <c r="D45" s="10">
        <f t="shared" si="0"/>
        <v>1.1397703690977866E-2</v>
      </c>
      <c r="F45" s="11" t="s">
        <v>153</v>
      </c>
      <c r="G45" s="10">
        <v>-1.4593968093384804</v>
      </c>
      <c r="H45" s="12">
        <f t="shared" si="2"/>
        <v>-1.4593968093384804E-2</v>
      </c>
    </row>
    <row r="46" spans="2:8" x14ac:dyDescent="0.2">
      <c r="B46" s="9" t="s">
        <v>224</v>
      </c>
      <c r="C46" s="10">
        <v>0.56972765686805427</v>
      </c>
      <c r="D46" s="10">
        <f t="shared" si="0"/>
        <v>5.697276568680543E-3</v>
      </c>
      <c r="F46" s="11" t="s">
        <v>154</v>
      </c>
      <c r="G46" s="10">
        <v>-1.4390590836012493</v>
      </c>
      <c r="H46" s="12">
        <f t="shared" si="2"/>
        <v>-1.4390590836012494E-2</v>
      </c>
    </row>
    <row r="47" spans="2:8" x14ac:dyDescent="0.2">
      <c r="B47" s="9" t="s">
        <v>225</v>
      </c>
      <c r="C47" s="10">
        <v>0.55418744706009604</v>
      </c>
      <c r="D47" s="10">
        <f t="shared" si="0"/>
        <v>5.5418744706009606E-3</v>
      </c>
      <c r="F47" s="11" t="s">
        <v>155</v>
      </c>
      <c r="G47" s="10">
        <v>-1.3952691641461448</v>
      </c>
      <c r="H47" s="12">
        <f t="shared" si="2"/>
        <v>-1.3952691641461448E-2</v>
      </c>
    </row>
    <row r="48" spans="2:8" x14ac:dyDescent="0.2">
      <c r="B48" s="9" t="s">
        <v>226</v>
      </c>
      <c r="C48" s="10">
        <v>0.49915213305670336</v>
      </c>
      <c r="D48" s="10">
        <f t="shared" si="0"/>
        <v>4.9915213305670334E-3</v>
      </c>
      <c r="F48" s="11" t="s">
        <v>156</v>
      </c>
      <c r="G48" s="10">
        <v>-1.3946404413318709</v>
      </c>
      <c r="H48" s="12">
        <f t="shared" si="2"/>
        <v>-1.394640441331871E-2</v>
      </c>
    </row>
    <row r="49" spans="2:8" x14ac:dyDescent="0.2">
      <c r="B49" s="9" t="s">
        <v>13</v>
      </c>
      <c r="C49" s="10">
        <v>0.27269255973694811</v>
      </c>
      <c r="D49" s="10">
        <f t="shared" si="0"/>
        <v>2.726925597369481E-3</v>
      </c>
      <c r="F49" s="11" t="s">
        <v>157</v>
      </c>
      <c r="G49" s="10">
        <v>-1.3296738050992951</v>
      </c>
      <c r="H49" s="12">
        <f t="shared" si="2"/>
        <v>-1.3296738050992952E-2</v>
      </c>
    </row>
    <row r="50" spans="2:8" x14ac:dyDescent="0.2">
      <c r="B50" s="9"/>
      <c r="C50" s="11"/>
      <c r="D50" s="11"/>
      <c r="F50" s="11" t="s">
        <v>158</v>
      </c>
      <c r="G50" s="10">
        <v>-1.2528405462132017</v>
      </c>
      <c r="H50" s="12">
        <f t="shared" si="2"/>
        <v>-1.2528405462132018E-2</v>
      </c>
    </row>
    <row r="51" spans="2:8" x14ac:dyDescent="0.2">
      <c r="F51" s="11" t="s">
        <v>159</v>
      </c>
      <c r="G51" s="10">
        <v>-1.2159826774604667</v>
      </c>
      <c r="H51" s="12">
        <f t="shared" si="2"/>
        <v>-1.2159826774604667E-2</v>
      </c>
    </row>
    <row r="52" spans="2:8" x14ac:dyDescent="0.2">
      <c r="F52" s="11" t="s">
        <v>160</v>
      </c>
      <c r="G52" s="10">
        <v>-1.2100582487518343</v>
      </c>
      <c r="H52" s="12">
        <f t="shared" si="2"/>
        <v>-1.2100582487518344E-2</v>
      </c>
    </row>
    <row r="53" spans="2:8" x14ac:dyDescent="0.2">
      <c r="F53" s="11" t="s">
        <v>161</v>
      </c>
      <c r="G53" s="10">
        <v>-1.179837500021484</v>
      </c>
      <c r="H53" s="12">
        <f t="shared" si="2"/>
        <v>-1.179837500021484E-2</v>
      </c>
    </row>
    <row r="54" spans="2:8" x14ac:dyDescent="0.2">
      <c r="F54" s="11" t="s">
        <v>162</v>
      </c>
      <c r="G54" s="10">
        <v>-1.1528153265621626</v>
      </c>
      <c r="H54" s="12">
        <f t="shared" si="2"/>
        <v>-1.1528153265621626E-2</v>
      </c>
    </row>
    <row r="55" spans="2:8" x14ac:dyDescent="0.2">
      <c r="D55" s="1"/>
      <c r="F55" s="11" t="s">
        <v>163</v>
      </c>
      <c r="G55" s="10">
        <v>-1.1352402338532157</v>
      </c>
      <c r="H55" s="12">
        <f t="shared" si="2"/>
        <v>-1.1352402338532156E-2</v>
      </c>
    </row>
    <row r="56" spans="2:8" x14ac:dyDescent="0.2">
      <c r="D56" s="1"/>
      <c r="F56" s="11" t="s">
        <v>164</v>
      </c>
      <c r="G56" s="10">
        <v>-1.0260339956228759</v>
      </c>
      <c r="H56" s="12">
        <f t="shared" si="2"/>
        <v>-1.026033995622876E-2</v>
      </c>
    </row>
    <row r="57" spans="2:8" x14ac:dyDescent="0.2">
      <c r="D57" s="1"/>
      <c r="F57" s="11" t="s">
        <v>165</v>
      </c>
      <c r="G57" s="10">
        <v>-0.97481737466847596</v>
      </c>
      <c r="H57" s="12">
        <f t="shared" si="2"/>
        <v>-9.7481737466847598E-3</v>
      </c>
    </row>
    <row r="58" spans="2:8" x14ac:dyDescent="0.2">
      <c r="D58" s="1"/>
      <c r="F58" s="11" t="s">
        <v>166</v>
      </c>
      <c r="G58" s="10">
        <v>-0.88649243676744327</v>
      </c>
      <c r="H58" s="12">
        <f t="shared" si="2"/>
        <v>-8.8649243676744323E-3</v>
      </c>
    </row>
    <row r="59" spans="2:8" x14ac:dyDescent="0.2">
      <c r="D59" s="1"/>
      <c r="F59" s="11" t="s">
        <v>167</v>
      </c>
      <c r="G59" s="10">
        <v>-0.86847300496580326</v>
      </c>
      <c r="H59" s="12">
        <f t="shared" si="2"/>
        <v>-8.6847300496580328E-3</v>
      </c>
    </row>
    <row r="60" spans="2:8" x14ac:dyDescent="0.2">
      <c r="D60" s="1"/>
      <c r="F60" s="11" t="s">
        <v>168</v>
      </c>
      <c r="G60" s="10">
        <v>-0.86442308626370223</v>
      </c>
      <c r="H60" s="12">
        <f t="shared" si="2"/>
        <v>-8.6442308626370219E-3</v>
      </c>
    </row>
    <row r="61" spans="2:8" x14ac:dyDescent="0.2">
      <c r="D61" s="1"/>
      <c r="F61" s="11" t="s">
        <v>169</v>
      </c>
      <c r="G61" s="10">
        <v>-0.82620305414216078</v>
      </c>
      <c r="H61" s="12">
        <f t="shared" si="2"/>
        <v>-8.2620305414216073E-3</v>
      </c>
    </row>
    <row r="62" spans="2:8" x14ac:dyDescent="0.2">
      <c r="D62" s="1"/>
      <c r="F62" s="11" t="s">
        <v>170</v>
      </c>
      <c r="G62" s="10">
        <v>-0.77647961517393482</v>
      </c>
      <c r="H62" s="12">
        <f t="shared" si="2"/>
        <v>-7.7647961517393485E-3</v>
      </c>
    </row>
    <row r="63" spans="2:8" x14ac:dyDescent="0.2">
      <c r="D63" s="1"/>
      <c r="F63" s="11" t="s">
        <v>171</v>
      </c>
      <c r="G63" s="10">
        <v>-0.73647452378621547</v>
      </c>
      <c r="H63" s="12">
        <f t="shared" si="2"/>
        <v>-7.3647452378621551E-3</v>
      </c>
    </row>
    <row r="64" spans="2:8" x14ac:dyDescent="0.2">
      <c r="D64" s="1"/>
      <c r="F64" s="11" t="s">
        <v>172</v>
      </c>
      <c r="G64" s="10">
        <v>-0.71670028913639117</v>
      </c>
      <c r="H64" s="12">
        <f t="shared" si="2"/>
        <v>-7.1670028913639119E-3</v>
      </c>
    </row>
    <row r="65" spans="4:8" x14ac:dyDescent="0.2">
      <c r="D65" s="1"/>
      <c r="F65" s="11" t="s">
        <v>173</v>
      </c>
      <c r="G65" s="10">
        <v>-0.69037928734543907</v>
      </c>
      <c r="H65" s="12">
        <f t="shared" si="2"/>
        <v>-6.903792873454391E-3</v>
      </c>
    </row>
    <row r="66" spans="4:8" x14ac:dyDescent="0.2">
      <c r="D66" s="1"/>
      <c r="F66" s="11" t="s">
        <v>174</v>
      </c>
      <c r="G66" s="10">
        <v>-0.68770443956660965</v>
      </c>
      <c r="H66" s="12">
        <f t="shared" si="2"/>
        <v>-6.8770443956660968E-3</v>
      </c>
    </row>
    <row r="67" spans="4:8" x14ac:dyDescent="0.2">
      <c r="D67" s="1"/>
      <c r="F67" s="11" t="s">
        <v>175</v>
      </c>
      <c r="G67" s="10">
        <v>-0.68305945484547959</v>
      </c>
      <c r="H67" s="12">
        <f t="shared" si="2"/>
        <v>-6.8305945484547961E-3</v>
      </c>
    </row>
    <row r="68" spans="4:8" x14ac:dyDescent="0.2">
      <c r="D68" s="1"/>
      <c r="F68" s="11" t="s">
        <v>176</v>
      </c>
      <c r="G68" s="10">
        <v>-0.62084920605031768</v>
      </c>
      <c r="H68" s="12">
        <f t="shared" si="2"/>
        <v>-6.2084920605031766E-3</v>
      </c>
    </row>
    <row r="69" spans="4:8" x14ac:dyDescent="0.2">
      <c r="D69" s="1"/>
      <c r="F69" s="11" t="s">
        <v>177</v>
      </c>
      <c r="G69" s="10">
        <v>-0.60592848946123645</v>
      </c>
      <c r="H69" s="12">
        <f t="shared" si="2"/>
        <v>-6.0592848946123649E-3</v>
      </c>
    </row>
    <row r="70" spans="4:8" x14ac:dyDescent="0.2">
      <c r="D70" s="1"/>
      <c r="F70" s="11" t="s">
        <v>178</v>
      </c>
      <c r="G70" s="10">
        <v>-0.58835131488866599</v>
      </c>
      <c r="H70" s="12">
        <f t="shared" si="2"/>
        <v>-5.8835131488866599E-3</v>
      </c>
    </row>
    <row r="71" spans="4:8" x14ac:dyDescent="0.2">
      <c r="D71" s="1"/>
      <c r="F71" s="11" t="s">
        <v>179</v>
      </c>
      <c r="G71" s="10">
        <v>-0.52620352200220677</v>
      </c>
      <c r="H71" s="12">
        <f t="shared" si="2"/>
        <v>-5.2620352200220674E-3</v>
      </c>
    </row>
    <row r="72" spans="4:8" x14ac:dyDescent="0.2">
      <c r="D72" s="1"/>
      <c r="F72" s="11" t="s">
        <v>180</v>
      </c>
      <c r="G72" s="10">
        <v>-0.51512245588926087</v>
      </c>
      <c r="H72" s="12">
        <f t="shared" si="2"/>
        <v>-5.1512245588926087E-3</v>
      </c>
    </row>
    <row r="73" spans="4:8" x14ac:dyDescent="0.2">
      <c r="D73" s="1"/>
      <c r="F73" s="11" t="s">
        <v>181</v>
      </c>
      <c r="G73" s="10">
        <v>-0.50420585700256559</v>
      </c>
      <c r="H73" s="12">
        <f t="shared" si="2"/>
        <v>-5.0420585700256563E-3</v>
      </c>
    </row>
    <row r="74" spans="4:8" x14ac:dyDescent="0.2">
      <c r="D74" s="1"/>
      <c r="F74" s="11" t="s">
        <v>182</v>
      </c>
      <c r="G74" s="10">
        <v>-0.5036617966423107</v>
      </c>
      <c r="H74" s="12">
        <f t="shared" si="2"/>
        <v>-5.0366179664231066E-3</v>
      </c>
    </row>
    <row r="75" spans="4:8" x14ac:dyDescent="0.2">
      <c r="D75" s="1"/>
      <c r="F75" s="11" t="s">
        <v>183</v>
      </c>
      <c r="G75" s="10">
        <v>-0.44731997442431104</v>
      </c>
      <c r="H75" s="12">
        <f t="shared" ref="H75:H106" si="3">IF(F75="","",G75/100)</f>
        <v>-4.4731997442431105E-3</v>
      </c>
    </row>
    <row r="76" spans="4:8" x14ac:dyDescent="0.2">
      <c r="D76" s="1"/>
      <c r="F76" s="11" t="s">
        <v>184</v>
      </c>
      <c r="G76" s="10">
        <v>-0.44044253794432919</v>
      </c>
      <c r="H76" s="12">
        <f t="shared" si="3"/>
        <v>-4.4044253794432919E-3</v>
      </c>
    </row>
    <row r="77" spans="4:8" x14ac:dyDescent="0.2">
      <c r="D77" s="1"/>
      <c r="F77" s="11" t="s">
        <v>185</v>
      </c>
      <c r="G77" s="10">
        <v>-0.41983486389059421</v>
      </c>
      <c r="H77" s="12">
        <f t="shared" si="3"/>
        <v>-4.1983486389059422E-3</v>
      </c>
    </row>
    <row r="78" spans="4:8" x14ac:dyDescent="0.2">
      <c r="D78" s="1"/>
      <c r="F78" s="11" t="s">
        <v>186</v>
      </c>
      <c r="G78" s="10">
        <v>-0.36020543203393712</v>
      </c>
      <c r="H78" s="12">
        <f t="shared" si="3"/>
        <v>-3.6020543203393713E-3</v>
      </c>
    </row>
    <row r="79" spans="4:8" x14ac:dyDescent="0.2">
      <c r="D79" s="1"/>
      <c r="F79" s="11" t="s">
        <v>187</v>
      </c>
      <c r="G79" s="10">
        <v>-0.32502367168442103</v>
      </c>
      <c r="H79" s="12">
        <f t="shared" si="3"/>
        <v>-3.2502367168442104E-3</v>
      </c>
    </row>
    <row r="80" spans="4:8" x14ac:dyDescent="0.2">
      <c r="D80" s="1"/>
      <c r="F80" s="11" t="s">
        <v>188</v>
      </c>
      <c r="G80" s="10">
        <v>-0.28055145612446619</v>
      </c>
      <c r="H80" s="12">
        <f t="shared" si="3"/>
        <v>-2.8055145612446621E-3</v>
      </c>
    </row>
    <row r="81" spans="4:8" x14ac:dyDescent="0.2">
      <c r="D81" s="1"/>
      <c r="F81" s="11" t="s">
        <v>14</v>
      </c>
      <c r="G81" s="10">
        <v>-0.22336106629355884</v>
      </c>
      <c r="H81" s="12">
        <f t="shared" si="3"/>
        <v>-2.2336106629355884E-3</v>
      </c>
    </row>
    <row r="82" spans="4:8" x14ac:dyDescent="0.2">
      <c r="D82" s="1"/>
      <c r="F82" s="11"/>
      <c r="G82" s="11"/>
      <c r="H82" s="13"/>
    </row>
    <row r="83" spans="4:8" x14ac:dyDescent="0.2">
      <c r="D83" s="1"/>
    </row>
    <row r="84" spans="4:8" x14ac:dyDescent="0.2">
      <c r="D84" s="1"/>
    </row>
    <row r="85" spans="4:8" x14ac:dyDescent="0.2">
      <c r="D85" s="1"/>
      <c r="G85" t="s">
        <v>5</v>
      </c>
    </row>
    <row r="86" spans="4:8" x14ac:dyDescent="0.2">
      <c r="D86" s="1"/>
    </row>
    <row r="87" spans="4:8" x14ac:dyDescent="0.2">
      <c r="D87" s="1"/>
      <c r="H87" s="1"/>
    </row>
    <row r="88" spans="4:8" x14ac:dyDescent="0.2">
      <c r="D88" s="1"/>
      <c r="H88" s="1"/>
    </row>
    <row r="89" spans="4:8" x14ac:dyDescent="0.2">
      <c r="D89" s="1"/>
      <c r="H89" s="1"/>
    </row>
    <row r="90" spans="4:8" x14ac:dyDescent="0.2">
      <c r="D90" s="1"/>
      <c r="H90" s="1"/>
    </row>
    <row r="91" spans="4:8" x14ac:dyDescent="0.2">
      <c r="D91" s="1"/>
      <c r="H91" s="1"/>
    </row>
    <row r="92" spans="4:8" x14ac:dyDescent="0.2">
      <c r="D92" s="1"/>
      <c r="H92" s="1"/>
    </row>
    <row r="93" spans="4:8" x14ac:dyDescent="0.2">
      <c r="D93" s="1"/>
      <c r="H93" s="1"/>
    </row>
    <row r="94" spans="4:8" x14ac:dyDescent="0.2">
      <c r="D94" s="1"/>
      <c r="H94" s="1"/>
    </row>
    <row r="95" spans="4:8" x14ac:dyDescent="0.2">
      <c r="D95" s="1"/>
      <c r="H95" s="1"/>
    </row>
    <row r="96" spans="4:8" x14ac:dyDescent="0.2">
      <c r="D96" s="1"/>
      <c r="H96" s="1"/>
    </row>
    <row r="97" spans="4:8" x14ac:dyDescent="0.2">
      <c r="D97" s="1"/>
      <c r="H97" s="1"/>
    </row>
    <row r="98" spans="4:8" x14ac:dyDescent="0.2">
      <c r="D98" s="1"/>
      <c r="H98" s="1"/>
    </row>
    <row r="99" spans="4:8" x14ac:dyDescent="0.2">
      <c r="D99" s="1"/>
      <c r="H99" s="1"/>
    </row>
    <row r="100" spans="4:8" x14ac:dyDescent="0.2">
      <c r="D100" s="1"/>
      <c r="H100" s="1"/>
    </row>
    <row r="101" spans="4:8" x14ac:dyDescent="0.2">
      <c r="D101" s="1"/>
      <c r="H101" s="1"/>
    </row>
    <row r="102" spans="4:8" x14ac:dyDescent="0.2">
      <c r="D102" s="1"/>
      <c r="H102" s="1"/>
    </row>
    <row r="103" spans="4:8" x14ac:dyDescent="0.2">
      <c r="D103" s="1"/>
      <c r="H103" s="1"/>
    </row>
    <row r="104" spans="4:8" x14ac:dyDescent="0.2">
      <c r="D104" s="1"/>
      <c r="H104" s="1"/>
    </row>
    <row r="105" spans="4:8" x14ac:dyDescent="0.2">
      <c r="D105" s="1"/>
      <c r="H105" s="1"/>
    </row>
    <row r="106" spans="4:8" x14ac:dyDescent="0.2">
      <c r="D106" s="1"/>
      <c r="H106" s="1"/>
    </row>
    <row r="107" spans="4:8" x14ac:dyDescent="0.2">
      <c r="D107" s="1"/>
      <c r="H107" s="1"/>
    </row>
    <row r="108" spans="4:8" x14ac:dyDescent="0.2">
      <c r="D108" s="1"/>
      <c r="H108" s="1"/>
    </row>
    <row r="109" spans="4:8" x14ac:dyDescent="0.2">
      <c r="D109" s="1"/>
      <c r="H109" s="1"/>
    </row>
    <row r="110" spans="4:8" x14ac:dyDescent="0.2">
      <c r="D110" s="1"/>
      <c r="H110" s="1"/>
    </row>
    <row r="111" spans="4:8" x14ac:dyDescent="0.2">
      <c r="D111" s="1"/>
      <c r="H111" s="1"/>
    </row>
    <row r="112" spans="4:8" x14ac:dyDescent="0.2">
      <c r="D112" s="1"/>
      <c r="H112" s="1"/>
    </row>
    <row r="113" spans="4:8" x14ac:dyDescent="0.2">
      <c r="D113" s="1"/>
      <c r="H113" s="1"/>
    </row>
    <row r="114" spans="4:8" x14ac:dyDescent="0.2">
      <c r="D114" s="1"/>
      <c r="H114" s="1"/>
    </row>
    <row r="115" spans="4:8" x14ac:dyDescent="0.2">
      <c r="D115" s="1"/>
      <c r="H115" s="1"/>
    </row>
    <row r="116" spans="4:8" x14ac:dyDescent="0.2">
      <c r="D116" s="1"/>
      <c r="H116" s="1"/>
    </row>
    <row r="117" spans="4:8" x14ac:dyDescent="0.2">
      <c r="D117" s="1"/>
      <c r="H117" s="1"/>
    </row>
    <row r="118" spans="4:8" x14ac:dyDescent="0.2">
      <c r="D118" s="1"/>
      <c r="H118" s="1"/>
    </row>
    <row r="119" spans="4:8" x14ac:dyDescent="0.2">
      <c r="D119" s="1"/>
      <c r="H119" s="1"/>
    </row>
    <row r="120" spans="4:8" x14ac:dyDescent="0.2">
      <c r="D120" s="1"/>
      <c r="H120" s="1"/>
    </row>
    <row r="121" spans="4:8" x14ac:dyDescent="0.2">
      <c r="D121" s="1"/>
      <c r="H121" s="1"/>
    </row>
    <row r="122" spans="4:8" x14ac:dyDescent="0.2">
      <c r="D122" s="1"/>
      <c r="H122" s="1"/>
    </row>
    <row r="123" spans="4:8" x14ac:dyDescent="0.2">
      <c r="D123" s="1"/>
      <c r="H123" s="1"/>
    </row>
    <row r="124" spans="4:8" x14ac:dyDescent="0.2">
      <c r="D124" s="1"/>
      <c r="H124" s="1"/>
    </row>
    <row r="125" spans="4:8" x14ac:dyDescent="0.2">
      <c r="D125" s="1"/>
      <c r="H125" s="1"/>
    </row>
    <row r="126" spans="4:8" x14ac:dyDescent="0.2">
      <c r="D126" s="1"/>
      <c r="H126" s="1"/>
    </row>
    <row r="127" spans="4:8" x14ac:dyDescent="0.2">
      <c r="D127" s="1"/>
      <c r="H127" s="1"/>
    </row>
    <row r="128" spans="4:8" x14ac:dyDescent="0.2">
      <c r="D128" s="1"/>
      <c r="H128" s="1"/>
    </row>
    <row r="129" spans="4:8" x14ac:dyDescent="0.2">
      <c r="D129" s="1"/>
      <c r="H129" s="1"/>
    </row>
    <row r="130" spans="4:8" x14ac:dyDescent="0.2">
      <c r="D130" s="1"/>
      <c r="H130" s="1"/>
    </row>
    <row r="131" spans="4:8" x14ac:dyDescent="0.2">
      <c r="D131" s="1"/>
      <c r="H131" s="1"/>
    </row>
    <row r="132" spans="4:8" x14ac:dyDescent="0.2">
      <c r="D132" s="1"/>
      <c r="H132" s="1"/>
    </row>
    <row r="133" spans="4:8" x14ac:dyDescent="0.2">
      <c r="D133" s="1"/>
      <c r="H133" s="1"/>
    </row>
    <row r="134" spans="4:8" x14ac:dyDescent="0.2">
      <c r="D134" s="1"/>
      <c r="H134" s="1"/>
    </row>
    <row r="135" spans="4:8" x14ac:dyDescent="0.2">
      <c r="D135" s="1"/>
      <c r="H135" s="1"/>
    </row>
    <row r="136" spans="4:8" x14ac:dyDescent="0.2">
      <c r="D136" s="1"/>
      <c r="H136" s="1"/>
    </row>
    <row r="137" spans="4:8" x14ac:dyDescent="0.2">
      <c r="D137" s="1"/>
      <c r="H137" s="1"/>
    </row>
    <row r="138" spans="4:8" x14ac:dyDescent="0.2">
      <c r="D138" s="1"/>
      <c r="H138" s="1"/>
    </row>
    <row r="139" spans="4:8" x14ac:dyDescent="0.2">
      <c r="D139" s="1"/>
      <c r="H139" s="1"/>
    </row>
    <row r="140" spans="4:8" x14ac:dyDescent="0.2">
      <c r="D140" s="1"/>
      <c r="H140" s="1"/>
    </row>
    <row r="141" spans="4:8" x14ac:dyDescent="0.2">
      <c r="D141" s="1"/>
      <c r="H141" s="1"/>
    </row>
    <row r="142" spans="4:8" x14ac:dyDescent="0.2">
      <c r="D142" s="1"/>
      <c r="H142" s="1"/>
    </row>
    <row r="143" spans="4:8" x14ac:dyDescent="0.2">
      <c r="D143" s="1"/>
      <c r="H143" s="1"/>
    </row>
    <row r="144" spans="4:8" x14ac:dyDescent="0.2">
      <c r="D144" s="1"/>
      <c r="H144" s="1"/>
    </row>
    <row r="145" spans="4:8" x14ac:dyDescent="0.2">
      <c r="D145" s="1"/>
      <c r="H145" s="1"/>
    </row>
    <row r="146" spans="4:8" x14ac:dyDescent="0.2">
      <c r="D146" s="1"/>
      <c r="H146" s="1"/>
    </row>
    <row r="147" spans="4:8" x14ac:dyDescent="0.2">
      <c r="D147" s="1"/>
      <c r="H147" s="1"/>
    </row>
    <row r="148" spans="4:8" x14ac:dyDescent="0.2">
      <c r="D148" s="1"/>
      <c r="H148" s="1"/>
    </row>
    <row r="149" spans="4:8" x14ac:dyDescent="0.2">
      <c r="D149" s="1"/>
      <c r="H149" s="1"/>
    </row>
    <row r="150" spans="4:8" x14ac:dyDescent="0.2">
      <c r="D150" s="1"/>
      <c r="H150" s="1"/>
    </row>
    <row r="151" spans="4:8" x14ac:dyDescent="0.2">
      <c r="D151" s="1"/>
      <c r="H151" s="1"/>
    </row>
    <row r="152" spans="4:8" x14ac:dyDescent="0.2">
      <c r="D152" s="1"/>
      <c r="H152" s="1"/>
    </row>
    <row r="153" spans="4:8" x14ac:dyDescent="0.2">
      <c r="D153" s="1"/>
      <c r="H153" s="1"/>
    </row>
    <row r="154" spans="4:8" x14ac:dyDescent="0.2">
      <c r="D154" s="1"/>
      <c r="H154" s="1"/>
    </row>
    <row r="155" spans="4:8" x14ac:dyDescent="0.2">
      <c r="D155" s="1"/>
      <c r="H155" s="1"/>
    </row>
    <row r="156" spans="4:8" x14ac:dyDescent="0.2">
      <c r="D156" s="1"/>
      <c r="H156" s="1"/>
    </row>
    <row r="157" spans="4:8" x14ac:dyDescent="0.2">
      <c r="D157" s="1"/>
      <c r="H157" s="1"/>
    </row>
    <row r="158" spans="4:8" x14ac:dyDescent="0.2">
      <c r="D158" s="1"/>
      <c r="H158" s="1"/>
    </row>
    <row r="159" spans="4:8" x14ac:dyDescent="0.2">
      <c r="D159" s="1"/>
      <c r="H159" s="1"/>
    </row>
    <row r="160" spans="4:8" x14ac:dyDescent="0.2">
      <c r="D160" s="1"/>
      <c r="H160" s="1"/>
    </row>
    <row r="161" spans="4:8" x14ac:dyDescent="0.2">
      <c r="D161" s="1"/>
      <c r="H161" s="1"/>
    </row>
    <row r="162" spans="4:8" x14ac:dyDescent="0.2">
      <c r="D162" s="1"/>
      <c r="H162" s="1"/>
    </row>
    <row r="163" spans="4:8" x14ac:dyDescent="0.2">
      <c r="D163" s="1"/>
      <c r="H163" s="1"/>
    </row>
    <row r="164" spans="4:8" x14ac:dyDescent="0.2">
      <c r="D164" s="1"/>
      <c r="H164" s="1"/>
    </row>
    <row r="165" spans="4:8" x14ac:dyDescent="0.2">
      <c r="D165" s="1"/>
      <c r="H165" s="1"/>
    </row>
    <row r="166" spans="4:8" x14ac:dyDescent="0.2">
      <c r="D166" s="1"/>
      <c r="H166" s="1"/>
    </row>
    <row r="167" spans="4:8" x14ac:dyDescent="0.2">
      <c r="D167" s="1"/>
      <c r="H167" s="1"/>
    </row>
    <row r="168" spans="4:8" x14ac:dyDescent="0.2">
      <c r="D168" s="1"/>
      <c r="H168" s="1"/>
    </row>
    <row r="169" spans="4:8" x14ac:dyDescent="0.2">
      <c r="D169" s="1"/>
      <c r="H169" s="1"/>
    </row>
    <row r="170" spans="4:8" x14ac:dyDescent="0.2">
      <c r="D170" s="1"/>
      <c r="H170" s="1"/>
    </row>
    <row r="171" spans="4:8" x14ac:dyDescent="0.2">
      <c r="D171" s="1"/>
      <c r="H171" s="1"/>
    </row>
    <row r="172" spans="4:8" x14ac:dyDescent="0.2">
      <c r="D172" s="1"/>
      <c r="H172" s="1"/>
    </row>
    <row r="173" spans="4:8" x14ac:dyDescent="0.2">
      <c r="D173" s="1"/>
      <c r="H173" s="1"/>
    </row>
    <row r="174" spans="4:8" x14ac:dyDescent="0.2">
      <c r="D174" s="1"/>
      <c r="H174" s="1"/>
    </row>
    <row r="175" spans="4:8" x14ac:dyDescent="0.2">
      <c r="D175" s="1"/>
      <c r="H175" s="1"/>
    </row>
    <row r="176" spans="4:8" x14ac:dyDescent="0.2">
      <c r="D176" s="1"/>
      <c r="H176" s="1"/>
    </row>
    <row r="177" spans="4:8" x14ac:dyDescent="0.2">
      <c r="D177" s="1"/>
      <c r="H177" s="1"/>
    </row>
    <row r="178" spans="4:8" x14ac:dyDescent="0.2">
      <c r="D178" s="1"/>
      <c r="H178" s="1"/>
    </row>
    <row r="179" spans="4:8" x14ac:dyDescent="0.2">
      <c r="H179" s="1"/>
    </row>
    <row r="180" spans="4:8" x14ac:dyDescent="0.2">
      <c r="H180" s="1"/>
    </row>
    <row r="181" spans="4:8" x14ac:dyDescent="0.2">
      <c r="H181" s="1"/>
    </row>
    <row r="182" spans="4:8" x14ac:dyDescent="0.2">
      <c r="H182" s="1"/>
    </row>
    <row r="183" spans="4:8" x14ac:dyDescent="0.2">
      <c r="H183" s="1"/>
    </row>
    <row r="184" spans="4:8" x14ac:dyDescent="0.2">
      <c r="H184" s="1"/>
    </row>
    <row r="185" spans="4:8" x14ac:dyDescent="0.2">
      <c r="H185" s="1"/>
    </row>
    <row r="186" spans="4:8" x14ac:dyDescent="0.2">
      <c r="H186" s="1"/>
    </row>
    <row r="187" spans="4:8" x14ac:dyDescent="0.2">
      <c r="H187" s="1"/>
    </row>
    <row r="188" spans="4:8" x14ac:dyDescent="0.2">
      <c r="H188" s="1"/>
    </row>
    <row r="189" spans="4:8" x14ac:dyDescent="0.2">
      <c r="H189" s="1"/>
    </row>
    <row r="190" spans="4:8" x14ac:dyDescent="0.2">
      <c r="H190" s="1"/>
    </row>
    <row r="191" spans="4:8" x14ac:dyDescent="0.2">
      <c r="H191" s="1"/>
    </row>
    <row r="192" spans="4:8" x14ac:dyDescent="0.2">
      <c r="H192" s="1"/>
    </row>
    <row r="193" spans="8:8" x14ac:dyDescent="0.2">
      <c r="H193" s="1"/>
    </row>
    <row r="194" spans="8:8" x14ac:dyDescent="0.2">
      <c r="H194" s="1"/>
    </row>
    <row r="195" spans="8:8" x14ac:dyDescent="0.2">
      <c r="H195" s="1"/>
    </row>
    <row r="196" spans="8:8" x14ac:dyDescent="0.2">
      <c r="H196" s="1"/>
    </row>
    <row r="197" spans="8:8" x14ac:dyDescent="0.2">
      <c r="H197" s="1"/>
    </row>
    <row r="198" spans="8:8" x14ac:dyDescent="0.2">
      <c r="H198" s="1"/>
    </row>
    <row r="199" spans="8:8" x14ac:dyDescent="0.2">
      <c r="H199" s="1"/>
    </row>
    <row r="200" spans="8:8" x14ac:dyDescent="0.2">
      <c r="H200" s="1"/>
    </row>
    <row r="201" spans="8:8" x14ac:dyDescent="0.2">
      <c r="H201" s="1"/>
    </row>
    <row r="202" spans="8:8" x14ac:dyDescent="0.2">
      <c r="H202" s="1"/>
    </row>
    <row r="203" spans="8:8" x14ac:dyDescent="0.2">
      <c r="H203" s="1"/>
    </row>
    <row r="204" spans="8:8" x14ac:dyDescent="0.2">
      <c r="H204" s="1"/>
    </row>
    <row r="205" spans="8:8" x14ac:dyDescent="0.2">
      <c r="H205" s="1"/>
    </row>
    <row r="206" spans="8:8" x14ac:dyDescent="0.2">
      <c r="H206" s="1"/>
    </row>
    <row r="207" spans="8:8" x14ac:dyDescent="0.2">
      <c r="H207" s="1"/>
    </row>
    <row r="208" spans="8:8" x14ac:dyDescent="0.2">
      <c r="H208" s="1"/>
    </row>
    <row r="209" spans="8:8" x14ac:dyDescent="0.2">
      <c r="H209" s="1"/>
    </row>
  </sheetData>
  <pageMargins left="0.7" right="0.7" top="0.75" bottom="0.75" header="0.3" footer="0.3"/>
  <pageSetup scale="77" orientation="portrait" r:id="rId1"/>
  <colBreaks count="1" manualBreakCount="1">
    <brk id="8" max="1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Issuer</vt:lpstr>
      <vt:lpstr>Instrument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Zack Snow</dc:creator>
  <cp:keywords/>
  <dc:description/>
  <cp:lastModifiedBy>Hari Kumar</cp:lastModifiedBy>
  <dcterms:created xsi:type="dcterms:W3CDTF">2021-09-29T23:40:08Z</dcterms:created>
  <dcterms:modified xsi:type="dcterms:W3CDTF">2026-10-27T17:07:36Z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thod">
    <vt:lpwstr>Visualization</vt:lpwstr>
  </property>
  <property fmtid="{D5CDD505-2E9C-101B-9397-08002B2CF9AE}" pid="3" name="focus">
    <vt:lpwstr>LKP_MASTER__PORT</vt:lpwstr>
  </property>
  <property fmtid="{D5CDD505-2E9C-101B-9397-08002B2CF9AE}" pid="4" name="periodicity">
    <vt:lpwstr>daily</vt:lpwstr>
  </property>
  <property fmtid="{D5CDD505-2E9C-101B-9397-08002B2CF9AE}" pid="5" name="units">
    <vt:lpwstr>%</vt:lpwstr>
  </property>
  <property fmtid="{D5CDD505-2E9C-101B-9397-08002B2CF9AE}" pid="6" name="compoundingInterval">
    <vt:lpwstr>daily</vt:lpwstr>
  </property>
  <property fmtid="{D5CDD505-2E9C-101B-9397-08002B2CF9AE}" pid="7" name="sortItems">
    <vt:lpwstr>False</vt:lpwstr>
  </property>
  <property fmtid="{D5CDD505-2E9C-101B-9397-08002B2CF9AE}" pid="8" name="disableFocusSwitching">
    <vt:lpwstr>False</vt:lpwstr>
  </property>
  <property fmtid="{D5CDD505-2E9C-101B-9397-08002B2CF9AE}" pid="9" name="timespec">
    <vt:lpwstr>{"begin":"10/26/2026", "end":"10/26/2026", "periodicity":"Weekday"}</vt:lpwstr>
  </property>
  <property fmtid="{D5CDD505-2E9C-101B-9397-08002B2CF9AE}" pid="10" name="filterspec">
    <vt:lpwstr/>
  </property>
  <property fmtid="{D5CDD505-2E9C-101B-9397-08002B2CF9AE}" pid="11" name="identifier">
    <vt:lpwstr>8bdbb4ac</vt:lpwstr>
  </property>
  <property fmtid="{D5CDD505-2E9C-101B-9397-08002B2CF9AE}" pid="12" name="beaconPortfolio">
    <vt:lpwstr>LKP_MASTER__PORT_20261026233031</vt:lpwstr>
  </property>
</Properties>
</file>