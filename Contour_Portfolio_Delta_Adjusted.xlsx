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caBasile\Documents\Client work\Client report work\client_Contour\Delta Adjusted Report Backups\"/>
    </mc:Choice>
  </mc:AlternateContent>
  <bookViews>
    <workbookView xWindow="-120" yWindow="-120" windowWidth="29040" windowHeight="15720" activeTab="0"/>
  </bookViews>
  <sheets>
    <sheet name="Issuer" sheetId="1" r:id="rId3"/>
    <sheet name="Instrument" sheetId="2" r:id="rId4"/>
  </sheets>
  <definedNames/>
  <calcPr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1" l="1"/>
</calcChain>
</file>

<file path=xl/sharedStrings.xml><?xml version="1.0" encoding="utf-8"?>
<sst xmlns="http://schemas.openxmlformats.org/spreadsheetml/2006/main" count="236" uniqueCount="205">
  <si>
    <t>Contour Portfolio (Delta Adjusted)</t>
  </si>
  <si>
    <t>Issuer</t>
  </si>
  <si>
    <t>Portfolio Weights</t>
  </si>
  <si>
    <t>LONGS</t>
  </si>
  <si>
    <t>SHORTS</t>
  </si>
  <si>
    <t>Portfolio Weight</t>
  </si>
  <si>
    <t>FILTERS: Excluding Cross Rates and Accounting Cash</t>
  </si>
  <si>
    <t>SERIES: Trading (non-additive)</t>
  </si>
  <si>
    <t>DASH</t>
  </si>
  <si>
    <t>SITM</t>
  </si>
  <si>
    <t>PUBP</t>
  </si>
  <si>
    <t/>
  </si>
  <si>
    <t>Manticore Master Fund</t>
  </si>
  <si>
    <t>DASH US 01/15/27 P150 OTC (DASH 1/15/27 P150 OTC)</t>
  </si>
  <si>
    <t>SITIME ORD (NMS)</t>
  </si>
  <si>
    <t>Instrument</t>
  </si>
  <si>
    <t>PUBLICIS GROUPE ORD (PAR) CFD</t>
  </si>
  <si>
    <t>CINTAS ORD (NMS)</t>
  </si>
  <si>
    <t>CTAS</t>
  </si>
  <si>
    <t>7751</t>
  </si>
  <si>
    <t>FICO</t>
  </si>
  <si>
    <t>HQY</t>
  </si>
  <si>
    <t>IBM</t>
  </si>
  <si>
    <t>AAPL</t>
  </si>
  <si>
    <t>6098</t>
  </si>
  <si>
    <t>ADSK</t>
  </si>
  <si>
    <t>LAMR</t>
  </si>
  <si>
    <t>NOW</t>
  </si>
  <si>
    <t>EFX</t>
  </si>
  <si>
    <t>CSU</t>
  </si>
  <si>
    <t>GEV</t>
  </si>
  <si>
    <t>ARMK</t>
  </si>
  <si>
    <t>CRM</t>
  </si>
  <si>
    <t>WSM</t>
  </si>
  <si>
    <t>EXPE</t>
  </si>
  <si>
    <t>VRSK</t>
  </si>
  <si>
    <t>GRMN</t>
  </si>
  <si>
    <t>EXLS</t>
  </si>
  <si>
    <t>8136</t>
  </si>
  <si>
    <t>LOGI</t>
  </si>
  <si>
    <t>MANH</t>
  </si>
  <si>
    <t>TEAM</t>
  </si>
  <si>
    <t>IT</t>
  </si>
  <si>
    <t>PINS</t>
  </si>
  <si>
    <t>REA</t>
  </si>
  <si>
    <t>FNF</t>
  </si>
  <si>
    <t>IOT</t>
  </si>
  <si>
    <t>ADBE</t>
  </si>
  <si>
    <t>COIN</t>
  </si>
  <si>
    <t>ANET</t>
  </si>
  <si>
    <t>EBAY</t>
  </si>
  <si>
    <t>FAF</t>
  </si>
  <si>
    <t>RHI</t>
  </si>
  <si>
    <t>DUOL</t>
  </si>
  <si>
    <t>CARG</t>
  </si>
  <si>
    <t>LOPE</t>
  </si>
  <si>
    <t>ALAB</t>
  </si>
  <si>
    <t>CHH</t>
  </si>
  <si>
    <t>SYM</t>
  </si>
  <si>
    <t>BBY</t>
  </si>
  <si>
    <t>GLW</t>
  </si>
  <si>
    <t>CIEN</t>
  </si>
  <si>
    <t>QLYS</t>
  </si>
  <si>
    <t>DOCN</t>
  </si>
  <si>
    <t>TTAN</t>
  </si>
  <si>
    <t>CHYM</t>
  </si>
  <si>
    <t>SOFI</t>
  </si>
  <si>
    <t>HRB</t>
  </si>
  <si>
    <t>SLM</t>
  </si>
  <si>
    <t>SEZL</t>
  </si>
  <si>
    <t>CRWV</t>
  </si>
  <si>
    <t>3034</t>
  </si>
  <si>
    <t>CNXC</t>
  </si>
  <si>
    <t>DAVE</t>
  </si>
  <si>
    <t>TEPRF</t>
  </si>
  <si>
    <t>OPEN</t>
  </si>
  <si>
    <t>META</t>
  </si>
  <si>
    <t>XYZ</t>
  </si>
  <si>
    <t>TRMB</t>
  </si>
  <si>
    <t>IRM</t>
  </si>
  <si>
    <t>W</t>
  </si>
  <si>
    <t>TSM</t>
  </si>
  <si>
    <t>ETN</t>
  </si>
  <si>
    <t>LYFT</t>
  </si>
  <si>
    <t>RACE</t>
  </si>
  <si>
    <t>AG1G</t>
  </si>
  <si>
    <t>005930</t>
  </si>
  <si>
    <t>GOOG</t>
  </si>
  <si>
    <t>ZETA</t>
  </si>
  <si>
    <t>GLBE</t>
  </si>
  <si>
    <t>PCOR</t>
  </si>
  <si>
    <t>APP</t>
  </si>
  <si>
    <t>AMZN</t>
  </si>
  <si>
    <t>HPE</t>
  </si>
  <si>
    <t>TSLA</t>
  </si>
  <si>
    <t>SAPG</t>
  </si>
  <si>
    <t>ZBRA</t>
  </si>
  <si>
    <t>NOD</t>
  </si>
  <si>
    <t>Z</t>
  </si>
  <si>
    <t>SPHR</t>
  </si>
  <si>
    <t>AMAT</t>
  </si>
  <si>
    <t>6857</t>
  </si>
  <si>
    <t>ACM</t>
  </si>
  <si>
    <t>CART</t>
  </si>
  <si>
    <t>TER</t>
  </si>
  <si>
    <t>STM</t>
  </si>
  <si>
    <t>000660</t>
  </si>
  <si>
    <t>CHKP</t>
  </si>
  <si>
    <t>RBLX</t>
  </si>
  <si>
    <t>RRX</t>
  </si>
  <si>
    <t>LION</t>
  </si>
  <si>
    <t>CANON ORD (TYO) CFD</t>
  </si>
  <si>
    <t>FAIR ISAAC ORD (NYS)</t>
  </si>
  <si>
    <t>HEALTHEQUITY ORD (NMS)</t>
  </si>
  <si>
    <t>INTERNATIONAL BUSINESS MACHINES ORD (NYS)</t>
  </si>
  <si>
    <t>APPLE ORD (NMS)</t>
  </si>
  <si>
    <t>RECRUIT HOLDINGS CO LTD (TYO) CFD</t>
  </si>
  <si>
    <t>AUTODESK ORD (NMS)</t>
  </si>
  <si>
    <t>LAMAR ADVERTISING CL A REIT (NMS)</t>
  </si>
  <si>
    <t>SERVICENOW ORD (NYS)</t>
  </si>
  <si>
    <t>EQUIFAX ORD (NYS)</t>
  </si>
  <si>
    <t>CONSTELLATION SOFTWARE ORD (TOR)</t>
  </si>
  <si>
    <t>GE VERNOVA ORD (NYS)</t>
  </si>
  <si>
    <t>ARAMARK ORD (NYS)</t>
  </si>
  <si>
    <t>SALESFORCE ORD (NYS)</t>
  </si>
  <si>
    <t>WILLIAMS SONOMA ORD (NYS)</t>
  </si>
  <si>
    <t>EXPEDIA GROUP ORD (NMS)</t>
  </si>
  <si>
    <t>VERISK ANALYTICS ORD (NMS)</t>
  </si>
  <si>
    <t>GARMIN ORD (NYS)</t>
  </si>
  <si>
    <t>EXLSERVICE HOLDINGS ORD (NMS)</t>
  </si>
  <si>
    <t>SANRIO ORD (TYO) CFD</t>
  </si>
  <si>
    <t>LOGITECH N ORD (NMS)</t>
  </si>
  <si>
    <t>MANHATTAN ASSOCIATES ORD (NMS)</t>
  </si>
  <si>
    <t>ATLASSIAN CL A ORD (NMS)</t>
  </si>
  <si>
    <t>GARTNER ORD (NYS)</t>
  </si>
  <si>
    <t>PINTEREST CL A ORD (NYS)</t>
  </si>
  <si>
    <t>REA GROUP ORD (ASX) CFD</t>
  </si>
  <si>
    <t>FIDELITY NATIONAL FINANCIAL ORD (NYS)</t>
  </si>
  <si>
    <t>SAMSARA CL A ORD (NYS)</t>
  </si>
  <si>
    <t>ADOBE ORD (NMS)</t>
  </si>
  <si>
    <t>COINBASE GLOBAL CL A ORD (NMS)</t>
  </si>
  <si>
    <t>ARISTA NETWORKS ORD (NYS)</t>
  </si>
  <si>
    <t>EBAY ORD (NMS)</t>
  </si>
  <si>
    <t>FIRST AMERICAN FINANCIAL ORD (NYS)</t>
  </si>
  <si>
    <t>ROBERT HALF ORD (NYS)</t>
  </si>
  <si>
    <t>DUOLINGO CL A ORD (NMS)</t>
  </si>
  <si>
    <t>CARGURUS CL A ORD (NMS)</t>
  </si>
  <si>
    <t>GRAND CANYON EDUCATION ORD (NMS)</t>
  </si>
  <si>
    <t>ASTERA LABS ORD (NMS)</t>
  </si>
  <si>
    <t>CHOICE HOTELS INTERNATIONAL ORD (NYS)</t>
  </si>
  <si>
    <t>SYMBOTIC CL A ORD (NMS)</t>
  </si>
  <si>
    <t>BEST BUY ORD (NYS)</t>
  </si>
  <si>
    <t>CORNING ORD (NYS)</t>
  </si>
  <si>
    <t>META US 01/15/27 C720 OTC (META 1/15/27 C720 OTC)</t>
  </si>
  <si>
    <t>CIENA ORD (NYS)</t>
  </si>
  <si>
    <t>QUALYS ORD (NMS)</t>
  </si>
  <si>
    <t>DIGITALOCEAN HOLDINGS ORD (NYS)</t>
  </si>
  <si>
    <t>SERVICETITAN CL A ORD (NMS)</t>
  </si>
  <si>
    <t>CHIME FINANCIAL CL A ORD (NMS)</t>
  </si>
  <si>
    <t>SOFI TECHNOLOGIES ORD (NMS)</t>
  </si>
  <si>
    <t>H&amp;R BLOCK ORD (NYS)</t>
  </si>
  <si>
    <t>SLM ORD (NMS)</t>
  </si>
  <si>
    <t>SEZZLE INC (NMS)</t>
  </si>
  <si>
    <t>COREWEAVE CL A ORD (NMS)</t>
  </si>
  <si>
    <t>NOVATEK MICROELE ORD (TAI) CFD_USD</t>
  </si>
  <si>
    <t>CONCENTRIX ORD (NMS)</t>
  </si>
  <si>
    <t>DAVE CL A ORD (NMS)</t>
  </si>
  <si>
    <t>TELEPERFORMANCE ORD (PAR) CFD</t>
  </si>
  <si>
    <t>OPENDOOR TECHNOLOGIES ORD (NMS)</t>
  </si>
  <si>
    <t>BLOCK CL A ORD (NYS)</t>
  </si>
  <si>
    <t>TRIMBLE ORD (NMS)</t>
  </si>
  <si>
    <t>IRON MOUNTAIN ORD (NYS)</t>
  </si>
  <si>
    <t>WAYFAIR CL A ORD (NYS)</t>
  </si>
  <si>
    <t>TWN SEMICONT MAN ORD (TAI) CFD_USD</t>
  </si>
  <si>
    <t>EATON ORD (NYS)</t>
  </si>
  <si>
    <t>LYFT CL A ORD (NMS)</t>
  </si>
  <si>
    <t>AUTO1 GROUP ORD (GER)</t>
  </si>
  <si>
    <t>SAMSUNG ELECTR ORD (KSC) CFD_USD</t>
  </si>
  <si>
    <t>ALPHABET CL A ORD (NMS)</t>
  </si>
  <si>
    <t>ZETA GLOBAL HOLDINGS CL A ORD (NYS)</t>
  </si>
  <si>
    <t>GLOBAL E ONLINE ORD (NMS)</t>
  </si>
  <si>
    <t>PROCORE TECHNOLOGIES ORD (NYS)</t>
  </si>
  <si>
    <t>APPLOVIN CL A ORD (NMS)</t>
  </si>
  <si>
    <t>AMAZON COM ORD (NMS)</t>
  </si>
  <si>
    <t>HEWLETT PACKARD ENTERPRISE ORD (NYS)</t>
  </si>
  <si>
    <t>TESLA ORD (NMS)</t>
  </si>
  <si>
    <t>SAP ORD (GER)</t>
  </si>
  <si>
    <t>ZEBRA TECHNOLOGIES CL A ORD (NMS)</t>
  </si>
  <si>
    <t>NORDIC SEMICONDUCTOR ORD (OSL)</t>
  </si>
  <si>
    <t>FERRARI ORD (NYS)</t>
  </si>
  <si>
    <t>ZILLOW GROUP CL C ORD (NMS)</t>
  </si>
  <si>
    <t>FERRARI ORD (MIL)</t>
  </si>
  <si>
    <t>SPHERE ENTERTAINMENT CL A ORD (NYS)</t>
  </si>
  <si>
    <t>APPLIED MATERIAL ORD (NMS)</t>
  </si>
  <si>
    <t>ADVANTEST ORD (TYO) CFD</t>
  </si>
  <si>
    <t>AECOM ORD (NYS)</t>
  </si>
  <si>
    <t>MAPLEBEAR ORD (NMS)</t>
  </si>
  <si>
    <t>TERADYNE ORD (NMS)</t>
  </si>
  <si>
    <t>STMICROELECTRONICS ADR (NYS)</t>
  </si>
  <si>
    <t>SK HYNIX ORD (KSC) CFD_USD</t>
  </si>
  <si>
    <t>CHECK POINT SOFTWARE TECHNOLOGIS ORD (NMS)</t>
  </si>
  <si>
    <t>ROBLOX CL A ORD (NYS)</t>
  </si>
  <si>
    <t>META US 01/15/27 P620 OTC (META 1/15/27 P620 OTC)</t>
  </si>
  <si>
    <t>REGAL REXNORD ORD (NYS)</t>
  </si>
  <si>
    <t>LIONSGATE STUDIOS ORD (NYS)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</si>
</sst>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0003962517"/>
        <bgColor indexed="64"/>
      </patternFill>
    </fill>
    <fill>
      <patternFill patternType="solid">
        <fgColor theme="0" tint="-0.0499799996614456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</border>
    <border>
      <left/>
      <right/>
      <top style="medium">
        <color auto="1"/>
      </top>
      <bottom style="medium">
        <color auto="1"/>
      </bottom>
    </border>
    <border>
      <left/>
      <right style="medium">
        <color auto="1"/>
      </right>
      <top style="medium">
        <color auto="1"/>
      </top>
      <bottom style="medium">
        <color auto="1"/>
      </bottom>
    </border>
    <border>
      <left style="thin">
        <color auto="1"/>
      </left>
      <right/>
      <top style="medium">
        <color auto="1"/>
      </top>
      <bottom/>
    </border>
    <border>
      <left/>
      <right/>
      <top style="medium">
        <color auto="1"/>
      </top>
      <bottom/>
    </border>
    <border>
      <left/>
      <right style="thin">
        <color auto="1"/>
      </right>
      <top style="medium">
        <color auto="1"/>
      </top>
      <bottom/>
    </border>
    <border>
      <left style="thin">
        <color auto="1"/>
      </left>
      <right/>
      <top/>
      <bottom/>
    </border>
    <border>
      <left/>
      <right style="thin">
        <color auto="1"/>
      </right>
      <top/>
      <bottom/>
    </border>
    <border>
      <left/>
      <right/>
      <top style="thin">
        <color auto="1"/>
      </top>
      <bottom/>
    </border>
  </borders>
  <cellStyleXfs count="20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22">
    <xf numFmtId="0" fontId="0" fillId="0" borderId="0" xfId="0"/>
    <xf numFmtId="10" fontId="0" fillId="0" borderId="0" xfId="0" applyNumberFormat="1"/>
    <xf numFmtId="0" fontId="2" fillId="0" borderId="0" xfId="0" applyFont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10" fontId="0" fillId="3" borderId="0" xfId="0" applyNumberFormat="1" applyFill="1"/>
    <xf numFmtId="0" fontId="0" fillId="3" borderId="0" xfId="0" applyFill="1"/>
    <xf numFmtId="10" fontId="0" fillId="3" borderId="8" xfId="0" applyNumberFormat="1" applyFill="1" applyBorder="1"/>
    <xf numFmtId="0" fontId="0" fillId="3" borderId="8" xfId="0" applyFill="1" applyBorder="1"/>
    <xf numFmtId="0" fontId="3" fillId="0" borderId="0" xfId="0" applyFont="1"/>
    <xf numFmtId="0" fontId="0" fillId="0" borderId="5" xfId="0" applyBorder="1"/>
    <xf numFmtId="0" fontId="2" fillId="2" borderId="5" xfId="0" applyFont="1" applyFill="1" applyBorder="1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9" xfId="0" applyBorder="1"/>
    <xf numFmtId="0" fontId="2" fillId="3" borderId="7" xfId="0" applyFont="1" applyFill="1" applyBorder="1"/>
    <xf numFmtId="0" fontId="2" fillId="3" borderId="0" xfId="0" applyFont="1" applyFill="1"/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4" Type="http://schemas.openxmlformats.org/officeDocument/2006/relationships/worksheet" Target="worksheets/sheet2.xml" /><Relationship Id="rId5" Type="http://schemas.openxmlformats.org/officeDocument/2006/relationships/sharedStrings" Target="sharedStrings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6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91D6D00E-F3A7-4FD6-86F3-70A35F8FFA0A}">
  <dimension ref="A1:Q199"/>
  <sheetViews>
    <sheetView tabSelected="1" workbookViewId="0" topLeftCell="A1"/>
  </sheetViews>
  <sheetFormatPr defaultRowHeight="15"/>
  <cols>
    <col min="3" max="3" width="0" hidden="1" customWidth="1"/>
    <col min="4" max="4" width="15.7142857142857" bestFit="1" customWidth="1"/>
    <col min="7" max="7" width="0" hidden="1" customWidth="1"/>
    <col min="8" max="8" width="15.7142857142857" bestFit="1" customWidth="1"/>
    <col min="12" max="12" width="15.7142857142857" hidden="1" customWidth="1"/>
    <col min="13" max="13" width="15.7142857142857" bestFit="1" customWidth="1"/>
    <col min="16" max="16" width="15.7142857142857" hidden="1" customWidth="1"/>
    <col min="17" max="17" width="15.7142857142857" bestFit="1" customWidth="1"/>
  </cols>
  <sheetData>
    <row r="1" spans="1:17" ht="18.75">
      <c r="A1" s="14" t="s">
        <v>0</v>
      </c>
    </row>
    <row r="2" spans="1:17" ht="15">
      <c r="A2" s="17" t="s">
        <v>12</v>
      </c>
    </row>
    <row r="3" spans="1:17" ht="15">
      <c r="A3" s="18" t="s">
        <v>6</v>
      </c>
    </row>
    <row r="4" spans="1:17" ht="15">
      <c r="A4" s="18" t="s">
        <v>7</v>
      </c>
    </row>
    <row r="5" spans="1:17" ht="15"/>
    <row r="6" spans="1:17" ht="15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ht="15">
      <c r="K7" s="2"/>
      <c r="O7" s="2"/>
    </row>
    <row r="8" spans="1:17" ht="15.75" thickBot="1"/>
    <row r="9" spans="1:17" ht="15.75" thickBot="1">
      <c r="B9" s="3" t="s">
        <v>1</v>
      </c>
      <c r="C9" s="4"/>
      <c r="D9" s="4" t="s">
        <v>2</v>
      </c>
      <c r="E9" s="16"/>
      <c r="F9" s="4" t="s">
        <v>1</v>
      </c>
      <c r="G9" s="4"/>
      <c r="H9" s="5" t="s">
        <v>2</v>
      </c>
      <c r="I9" s="2"/>
      <c r="J9" s="2"/>
      <c r="K9" s="3" t="s">
        <v>1</v>
      </c>
      <c r="L9" s="4" t="s">
        <v>2</v>
      </c>
      <c r="M9" s="4" t="s">
        <v>2</v>
      </c>
      <c r="N9" s="4"/>
      <c r="O9" s="4" t="s">
        <v>1</v>
      </c>
      <c r="P9" s="5" t="s">
        <v>2</v>
      </c>
      <c r="Q9" s="5" t="s">
        <v>2</v>
      </c>
    </row>
    <row r="10" spans="1:17" ht="15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ht="15">
      <c r="B11" s="9" t="s">
        <v>77</v>
      </c>
      <c r="C11" s="10">
        <v>10.032656621227209</v>
      </c>
      <c r="D11" s="10">
        <f>IF(B11="","",(C11/100))</f>
        <v>0.10032656621227209</v>
      </c>
      <c r="F11" s="11" t="s">
        <v>10</v>
      </c>
      <c r="G11" s="10">
        <v>-5.1704988081845586</v>
      </c>
      <c r="H11" s="12">
        <f>IF(F11="","",G11/100)</f>
        <v>-0.051704988081845586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ht="15">
      <c r="B12" s="9" t="s">
        <v>78</v>
      </c>
      <c r="C12" s="10">
        <v>6.5645846909600483</v>
      </c>
      <c r="D12" s="10">
        <f>IF(B12="","",(C12/100))</f>
        <v>0.065645846909600486</v>
      </c>
      <c r="F12" s="11" t="s">
        <v>18</v>
      </c>
      <c r="G12" s="10">
        <v>-4.5072716016839154</v>
      </c>
      <c r="H12" s="12">
        <f>IF(F12="","",G12/100)</f>
        <v>-0.045072716016839154</v>
      </c>
      <c r="K12" s="9"/>
      <c r="L12" s="11"/>
      <c r="M12" s="11"/>
      <c r="O12" s="11"/>
      <c r="P12" s="11"/>
      <c r="Q12" s="13"/>
    </row>
    <row r="13" spans="1:17" ht="15">
      <c r="B13" s="9" t="s">
        <v>79</v>
      </c>
      <c r="C13" s="10">
        <v>4.9922384134675024</v>
      </c>
      <c r="D13" s="10">
        <f>IF(B13="","",(C13/100))</f>
        <v>0.049922384134675021</v>
      </c>
      <c r="F13" s="11" t="s">
        <v>19</v>
      </c>
      <c r="G13" s="10">
        <v>-3.8342330644920741</v>
      </c>
      <c r="H13" s="12">
        <f>IF(F13="","",G13/100)</f>
        <v>-0.038342330644920743</v>
      </c>
      <c r="I13" s="1"/>
    </row>
    <row r="14" spans="1:17" ht="15">
      <c r="B14" s="9" t="s">
        <v>80</v>
      </c>
      <c r="C14" s="10">
        <v>4.7916088472466889</v>
      </c>
      <c r="D14" s="10">
        <f>IF(B14="","",(C14/100))</f>
        <v>0.047916088472466888</v>
      </c>
      <c r="F14" s="11" t="s">
        <v>20</v>
      </c>
      <c r="G14" s="10">
        <v>-3.432968433269576</v>
      </c>
      <c r="H14" s="12">
        <f>IF(F14="","",G14/100)</f>
        <v>-0.034329684332695759</v>
      </c>
      <c r="I14" s="1"/>
    </row>
    <row r="15" spans="1:17" ht="15">
      <c r="B15" s="9" t="s">
        <v>81</v>
      </c>
      <c r="C15" s="10">
        <v>4.4429121029125751</v>
      </c>
      <c r="D15" s="10">
        <f>IF(B15="","",(C15/100))</f>
        <v>0.044429121029125752</v>
      </c>
      <c r="F15" s="11" t="s">
        <v>21</v>
      </c>
      <c r="G15" s="10">
        <v>-3.4186706210816249</v>
      </c>
      <c r="H15" s="12">
        <f>IF(F15="","",G15/100)</f>
        <v>-0.034186706210816251</v>
      </c>
      <c r="I15" s="1"/>
    </row>
    <row r="16" spans="2:9" ht="15">
      <c r="B16" s="9" t="s">
        <v>82</v>
      </c>
      <c r="C16" s="10">
        <v>4.288895898514375</v>
      </c>
      <c r="D16" s="10">
        <f>IF(B16="","",(C16/100))</f>
        <v>0.042888958985143749</v>
      </c>
      <c r="F16" s="11" t="s">
        <v>22</v>
      </c>
      <c r="G16" s="10">
        <v>-3.3953542191112787</v>
      </c>
      <c r="H16" s="12">
        <f>IF(F16="","",G16/100)</f>
        <v>-0.033953542191112789</v>
      </c>
      <c r="I16" s="1"/>
    </row>
    <row r="17" spans="2:8" ht="15">
      <c r="B17" s="9" t="s">
        <v>83</v>
      </c>
      <c r="C17" s="10">
        <v>3.8064092987500033</v>
      </c>
      <c r="D17" s="10">
        <f>IF(B17="","",(C17/100))</f>
        <v>0.038064092987500034</v>
      </c>
      <c r="F17" s="11" t="s">
        <v>23</v>
      </c>
      <c r="G17" s="10">
        <v>-3.3205937108620782</v>
      </c>
      <c r="H17" s="12">
        <f>IF(F17="","",G17/100)</f>
        <v>-0.033205937108620784</v>
      </c>
    </row>
    <row r="18" spans="2:8" ht="15">
      <c r="B18" s="9" t="s">
        <v>84</v>
      </c>
      <c r="C18" s="10">
        <v>3.7435246533950188</v>
      </c>
      <c r="D18" s="10">
        <f>IF(B18="","",(C18/100))</f>
        <v>0.037435246533950188</v>
      </c>
      <c r="F18" s="11" t="s">
        <v>24</v>
      </c>
      <c r="G18" s="10">
        <v>-3.305152152253104</v>
      </c>
      <c r="H18" s="12">
        <f>IF(F18="","",G18/100)</f>
        <v>-0.03305152152253104</v>
      </c>
    </row>
    <row r="19" spans="2:8" ht="15">
      <c r="B19" s="9" t="s">
        <v>85</v>
      </c>
      <c r="C19" s="10">
        <v>3.0688986018070477</v>
      </c>
      <c r="D19" s="10">
        <f>IF(B19="","",(C19/100))</f>
        <v>0.030688986018070477</v>
      </c>
      <c r="F19" s="11" t="s">
        <v>25</v>
      </c>
      <c r="G19" s="10">
        <v>-3.1295440683041695</v>
      </c>
      <c r="H19" s="12">
        <f>IF(F19="","",G19/100)</f>
        <v>-0.031295440683041693</v>
      </c>
    </row>
    <row r="20" spans="2:8" ht="15">
      <c r="B20" s="9" t="s">
        <v>86</v>
      </c>
      <c r="C20" s="10">
        <v>2.974535595805587</v>
      </c>
      <c r="D20" s="10">
        <f>IF(B20="","",(C20/100))</f>
        <v>0.029745355958055872</v>
      </c>
      <c r="F20" s="11" t="s">
        <v>26</v>
      </c>
      <c r="G20" s="10">
        <v>-2.8489805574986744</v>
      </c>
      <c r="H20" s="12">
        <f>IF(F20="","",G20/100)</f>
        <v>-0.028489805574986746</v>
      </c>
    </row>
    <row r="21" spans="2:8" ht="15">
      <c r="B21" s="9" t="s">
        <v>87</v>
      </c>
      <c r="C21" s="10">
        <v>2.6597141564846702</v>
      </c>
      <c r="D21" s="10">
        <f>IF(B21="","",(C21/100))</f>
        <v>0.026597141564846702</v>
      </c>
      <c r="F21" s="11" t="s">
        <v>27</v>
      </c>
      <c r="G21" s="10">
        <v>-2.8465368730952396</v>
      </c>
      <c r="H21" s="12">
        <f>IF(F21="","",G21/100)</f>
        <v>-0.028465368730952397</v>
      </c>
    </row>
    <row r="22" spans="2:8" ht="15">
      <c r="B22" s="9" t="s">
        <v>88</v>
      </c>
      <c r="C22" s="10">
        <v>2.534463384052581</v>
      </c>
      <c r="D22" s="10">
        <f>IF(B22="","",(C22/100))</f>
        <v>0.025344633840525811</v>
      </c>
      <c r="F22" s="11" t="s">
        <v>28</v>
      </c>
      <c r="G22" s="10">
        <v>-2.7632198690417806</v>
      </c>
      <c r="H22" s="12">
        <f>IF(F22="","",G22/100)</f>
        <v>-0.027632198690417806</v>
      </c>
    </row>
    <row r="23" spans="2:8" ht="15">
      <c r="B23" s="9" t="s">
        <v>89</v>
      </c>
      <c r="C23" s="10">
        <v>2.5274959704581641</v>
      </c>
      <c r="D23" s="10">
        <f>IF(B23="","",(C23/100))</f>
        <v>0.025274959704581643</v>
      </c>
      <c r="F23" s="11" t="s">
        <v>29</v>
      </c>
      <c r="G23" s="10">
        <v>-2.5298056841944709</v>
      </c>
      <c r="H23" s="12">
        <f>IF(F23="","",G23/100)</f>
        <v>-0.025298056841944708</v>
      </c>
    </row>
    <row r="24" spans="2:8" ht="15">
      <c r="B24" s="9" t="s">
        <v>90</v>
      </c>
      <c r="C24" s="10">
        <v>2.4518662620613929</v>
      </c>
      <c r="D24" s="10">
        <f>IF(B24="","",(C24/100))</f>
        <v>0.024518662620613928</v>
      </c>
      <c r="F24" s="11" t="s">
        <v>30</v>
      </c>
      <c r="G24" s="10">
        <v>-2.454110615658279</v>
      </c>
      <c r="H24" s="12">
        <f>IF(F24="","",G24/100)</f>
        <v>-0.024541106156582792</v>
      </c>
    </row>
    <row r="25" spans="2:8" ht="15">
      <c r="B25" s="9" t="s">
        <v>91</v>
      </c>
      <c r="C25" s="10">
        <v>2.327973295734207</v>
      </c>
      <c r="D25" s="10">
        <f>IF(B25="","",(C25/100))</f>
        <v>0.023279732957342071</v>
      </c>
      <c r="F25" s="11" t="s">
        <v>31</v>
      </c>
      <c r="G25" s="10">
        <v>-2.2702908225579899</v>
      </c>
      <c r="H25" s="12">
        <f>IF(F25="","",G25/100)</f>
        <v>-0.022702908225579899</v>
      </c>
    </row>
    <row r="26" spans="2:8" ht="15">
      <c r="B26" s="9" t="s">
        <v>92</v>
      </c>
      <c r="C26" s="10">
        <v>2.2621840484749103</v>
      </c>
      <c r="D26" s="10">
        <f>IF(B26="","",(C26/100))</f>
        <v>0.022621840484749103</v>
      </c>
      <c r="F26" s="11" t="s">
        <v>32</v>
      </c>
      <c r="G26" s="10">
        <v>-2.2192043988824128</v>
      </c>
      <c r="H26" s="12">
        <f>IF(F26="","",G26/100)</f>
        <v>-0.022192043988824128</v>
      </c>
    </row>
    <row r="27" spans="2:8" ht="15">
      <c r="B27" s="9" t="s">
        <v>93</v>
      </c>
      <c r="C27" s="10">
        <v>2.218799976641737</v>
      </c>
      <c r="D27" s="10">
        <f>IF(B27="","",(C27/100))</f>
        <v>0.02218799976641737</v>
      </c>
      <c r="F27" s="11" t="s">
        <v>33</v>
      </c>
      <c r="G27" s="10">
        <v>-2.2125510049526969</v>
      </c>
      <c r="H27" s="12">
        <f>IF(F27="","",G27/100)</f>
        <v>-0.022125510049526967</v>
      </c>
    </row>
    <row r="28" spans="2:8" ht="15">
      <c r="B28" s="9" t="s">
        <v>94</v>
      </c>
      <c r="C28" s="10">
        <v>2.0979262992440884</v>
      </c>
      <c r="D28" s="10">
        <f>IF(B28="","",(C28/100))</f>
        <v>0.020979262992440885</v>
      </c>
      <c r="F28" s="11" t="s">
        <v>34</v>
      </c>
      <c r="G28" s="10">
        <v>-2.1734866837248878</v>
      </c>
      <c r="H28" s="12">
        <f>IF(F28="","",G28/100)</f>
        <v>-0.02173486683724888</v>
      </c>
    </row>
    <row r="29" spans="2:8" ht="15">
      <c r="B29" s="9" t="s">
        <v>95</v>
      </c>
      <c r="C29" s="10">
        <v>1.9968619267310121</v>
      </c>
      <c r="D29" s="10">
        <f>IF(B29="","",(C29/100))</f>
        <v>0.019968619267310122</v>
      </c>
      <c r="F29" s="11" t="s">
        <v>35</v>
      </c>
      <c r="G29" s="10">
        <v>-2.1534764237528137</v>
      </c>
      <c r="H29" s="12">
        <f>IF(F29="","",G29/100)</f>
        <v>-0.021534764237528137</v>
      </c>
    </row>
    <row r="30" spans="2:8" ht="15">
      <c r="B30" s="9" t="s">
        <v>96</v>
      </c>
      <c r="C30" s="10">
        <v>1.986472098938951</v>
      </c>
      <c r="D30" s="10">
        <f>IF(B30="","",(C30/100))</f>
        <v>0.01986472098938951</v>
      </c>
      <c r="F30" s="11" t="s">
        <v>36</v>
      </c>
      <c r="G30" s="10">
        <v>-2.1391396618670315</v>
      </c>
      <c r="H30" s="12">
        <f>IF(F30="","",G30/100)</f>
        <v>-0.021391396618670316</v>
      </c>
    </row>
    <row r="31" spans="2:8" ht="15">
      <c r="B31" s="9" t="s">
        <v>97</v>
      </c>
      <c r="C31" s="10">
        <v>1.9679910923984449</v>
      </c>
      <c r="D31" s="10">
        <f>IF(B31="","",(C31/100))</f>
        <v>0.01967991092398445</v>
      </c>
      <c r="F31" s="11" t="s">
        <v>37</v>
      </c>
      <c r="G31" s="10">
        <v>-2.0454718574419917</v>
      </c>
      <c r="H31" s="12">
        <f>IF(F31="","",G31/100)</f>
        <v>-0.020454718574419918</v>
      </c>
    </row>
    <row r="32" spans="2:8" ht="15">
      <c r="B32" s="9" t="s">
        <v>98</v>
      </c>
      <c r="C32" s="10">
        <v>1.9307280114811938</v>
      </c>
      <c r="D32" s="10">
        <f>IF(B32="","",(C32/100))</f>
        <v>0.019307280114811937</v>
      </c>
      <c r="F32" s="11" t="s">
        <v>38</v>
      </c>
      <c r="G32" s="10">
        <v>-2.033411263528131</v>
      </c>
      <c r="H32" s="12">
        <f>IF(F32="","",G32/100)</f>
        <v>-0.020334112635281308</v>
      </c>
    </row>
    <row r="33" spans="2:8" ht="15">
      <c r="B33" s="9" t="s">
        <v>99</v>
      </c>
      <c r="C33" s="10">
        <v>1.6640148823011673</v>
      </c>
      <c r="D33" s="10">
        <f>IF(B33="","",(C33/100))</f>
        <v>0.016640148823011673</v>
      </c>
      <c r="F33" s="11" t="s">
        <v>39</v>
      </c>
      <c r="G33" s="10">
        <v>-1.9741664165062998</v>
      </c>
      <c r="H33" s="12">
        <f>IF(F33="","",G33/100)</f>
        <v>-0.019741664165062997</v>
      </c>
    </row>
    <row r="34" spans="2:8" ht="15">
      <c r="B34" s="9" t="s">
        <v>100</v>
      </c>
      <c r="C34" s="10">
        <v>1.5499138700087787</v>
      </c>
      <c r="D34" s="10">
        <f>IF(B34="","",(C34/100))</f>
        <v>0.015499138700087787</v>
      </c>
      <c r="F34" s="11" t="s">
        <v>40</v>
      </c>
      <c r="G34" s="10">
        <v>-1.929297673838144</v>
      </c>
      <c r="H34" s="12">
        <f>IF(F34="","",G34/100)</f>
        <v>-0.019292976738381439</v>
      </c>
    </row>
    <row r="35" spans="2:8" ht="15">
      <c r="B35" s="9" t="s">
        <v>101</v>
      </c>
      <c r="C35" s="10">
        <v>1.5162825406658633</v>
      </c>
      <c r="D35" s="10">
        <f>IF(B35="","",(C35/100))</f>
        <v>0.015162825406658633</v>
      </c>
      <c r="F35" s="11" t="s">
        <v>41</v>
      </c>
      <c r="G35" s="10">
        <v>-1.6379702994790253</v>
      </c>
      <c r="H35" s="12">
        <f>IF(F35="","",G35/100)</f>
        <v>-0.016379702994790253</v>
      </c>
    </row>
    <row r="36" spans="2:8" ht="15">
      <c r="B36" s="9" t="s">
        <v>102</v>
      </c>
      <c r="C36" s="10">
        <v>1.4198630546469748</v>
      </c>
      <c r="D36" s="10">
        <f>IF(B36="","",(C36/100))</f>
        <v>0.014198630546469748</v>
      </c>
      <c r="F36" s="11" t="s">
        <v>42</v>
      </c>
      <c r="G36" s="10">
        <v>-1.5474968939695712</v>
      </c>
      <c r="H36" s="12">
        <f>IF(F36="","",G36/100)</f>
        <v>-0.015474968939695712</v>
      </c>
    </row>
    <row r="37" spans="2:8" ht="15">
      <c r="B37" s="9" t="s">
        <v>103</v>
      </c>
      <c r="C37" s="10">
        <v>1.3616945285188287</v>
      </c>
      <c r="D37" s="10">
        <f>IF(B37="","",(C37/100))</f>
        <v>0.013616945285188286</v>
      </c>
      <c r="F37" s="11" t="s">
        <v>43</v>
      </c>
      <c r="G37" s="10">
        <v>-1.5376735183298007</v>
      </c>
      <c r="H37" s="12">
        <f>IF(F37="","",G37/100)</f>
        <v>-0.015376735183298008</v>
      </c>
    </row>
    <row r="38" spans="2:8" ht="15">
      <c r="B38" s="9" t="s">
        <v>104</v>
      </c>
      <c r="C38" s="10">
        <v>1.3511011926338614</v>
      </c>
      <c r="D38" s="10">
        <f>IF(B38="","",(C38/100))</f>
        <v>0.013511011926338613</v>
      </c>
      <c r="F38" s="11" t="s">
        <v>44</v>
      </c>
      <c r="G38" s="10">
        <v>-1.5215067098010393</v>
      </c>
      <c r="H38" s="12">
        <f>IF(F38="","",G38/100)</f>
        <v>-0.015215067098010394</v>
      </c>
    </row>
    <row r="39" spans="2:8" ht="15">
      <c r="B39" s="9" t="s">
        <v>105</v>
      </c>
      <c r="C39" s="10">
        <v>1.3056266021448164</v>
      </c>
      <c r="D39" s="10">
        <f>IF(B39="","",(C39/100))</f>
        <v>0.013056266021448165</v>
      </c>
      <c r="F39" s="11" t="s">
        <v>45</v>
      </c>
      <c r="G39" s="10">
        <v>-1.4898873451015626</v>
      </c>
      <c r="H39" s="12">
        <f>IF(F39="","",G39/100)</f>
        <v>-0.014898873451015626</v>
      </c>
    </row>
    <row r="40" spans="2:8" ht="15">
      <c r="B40" s="9" t="s">
        <v>106</v>
      </c>
      <c r="C40" s="10">
        <v>1.0144456000955313</v>
      </c>
      <c r="D40" s="10">
        <f>IF(B40="","",(C40/100))</f>
        <v>0.010144456000955314</v>
      </c>
      <c r="F40" s="11" t="s">
        <v>46</v>
      </c>
      <c r="G40" s="10">
        <v>-1.2536474121179391</v>
      </c>
      <c r="H40" s="12">
        <f>IF(F40="","",G40/100)</f>
        <v>-0.01253647412117939</v>
      </c>
    </row>
    <row r="41" spans="2:8" ht="15">
      <c r="B41" s="9" t="s">
        <v>107</v>
      </c>
      <c r="C41" s="10">
        <v>0.62192586338377553</v>
      </c>
      <c r="D41" s="10">
        <f>IF(B41="","",(C41/100))</f>
        <v>0.0062192586338377549</v>
      </c>
      <c r="F41" s="11" t="s">
        <v>47</v>
      </c>
      <c r="G41" s="10">
        <v>-1.1839464368861896</v>
      </c>
      <c r="H41" s="12">
        <f>IF(F41="","",G41/100)</f>
        <v>-0.011839464368861897</v>
      </c>
    </row>
    <row r="42" spans="2:8" ht="15">
      <c r="B42" s="9" t="s">
        <v>108</v>
      </c>
      <c r="C42" s="10">
        <v>0.46883194855321542</v>
      </c>
      <c r="D42" s="10">
        <f>IF(B42="","",(C42/100))</f>
        <v>0.0046883194855321542</v>
      </c>
      <c r="F42" s="11" t="s">
        <v>48</v>
      </c>
      <c r="G42" s="10">
        <v>-1.1038327999980688</v>
      </c>
      <c r="H42" s="12">
        <f>IF(F42="","",G42/100)</f>
        <v>-0.011038327999980689</v>
      </c>
    </row>
    <row r="43" spans="2:8" ht="15">
      <c r="B43" s="9" t="s">
        <v>109</v>
      </c>
      <c r="C43" s="10">
        <v>0.43950969956230901</v>
      </c>
      <c r="D43" s="10">
        <f>IF(B43="","",(C43/100))</f>
        <v>0.0043950969956230903</v>
      </c>
      <c r="F43" s="11" t="s">
        <v>49</v>
      </c>
      <c r="G43" s="10">
        <v>-1.0732978734402292</v>
      </c>
      <c r="H43" s="12">
        <f>IF(F43="","",G43/100)</f>
        <v>-0.010732978734402291</v>
      </c>
    </row>
    <row r="44" spans="2:8" ht="15">
      <c r="B44" s="9" t="s">
        <v>110</v>
      </c>
      <c r="C44" s="10">
        <v>0.38619037808332551</v>
      </c>
      <c r="D44" s="10">
        <f>IF(B44="","",(C44/100))</f>
        <v>0.0038619037808332551</v>
      </c>
      <c r="F44" s="11" t="s">
        <v>50</v>
      </c>
      <c r="G44" s="10">
        <v>-1.0505283383197708</v>
      </c>
      <c r="H44" s="12">
        <f>IF(F44="","",G44/100)</f>
        <v>-0.010505283383197707</v>
      </c>
    </row>
    <row r="45" spans="2:8" ht="15">
      <c r="B45" s="9" t="s">
        <v>8</v>
      </c>
      <c r="C45" s="10">
        <v>0.14305569396678564</v>
      </c>
      <c r="D45" s="10">
        <f>IF(B45="","",(C45/100))</f>
        <v>0.0014305569396678563</v>
      </c>
      <c r="F45" s="11" t="s">
        <v>51</v>
      </c>
      <c r="G45" s="10">
        <v>-1.0233135625590861</v>
      </c>
      <c r="H45" s="12">
        <f>IF(F45="","",G45/100)</f>
        <v>-0.010233135625590861</v>
      </c>
    </row>
    <row r="46" spans="2:8" ht="15">
      <c r="B46" s="9"/>
      <c r="C46" s="11"/>
      <c r="D46" s="11"/>
      <c r="F46" s="11" t="s">
        <v>52</v>
      </c>
      <c r="G46" s="10">
        <v>-1.0124649915953887</v>
      </c>
      <c r="H46" s="12">
        <f>IF(F46="","",G46/100)</f>
        <v>-0.010124649915953887</v>
      </c>
    </row>
    <row r="47" spans="2:8" ht="15">
      <c r="F47" s="11" t="s">
        <v>53</v>
      </c>
      <c r="G47" s="10">
        <v>-0.98365098706492349</v>
      </c>
      <c r="H47" s="12">
        <f>IF(F47="","",G47/100)</f>
        <v>-0.0098365098706492352</v>
      </c>
    </row>
    <row r="48" spans="2:8" ht="15">
      <c r="F48" s="11" t="s">
        <v>54</v>
      </c>
      <c r="G48" s="10">
        <v>-0.94381664013024091</v>
      </c>
      <c r="H48" s="12">
        <f>IF(F48="","",G48/100)</f>
        <v>-0.0094381664013024093</v>
      </c>
    </row>
    <row r="49" spans="2:8" ht="15">
      <c r="F49" s="11" t="s">
        <v>55</v>
      </c>
      <c r="G49" s="10">
        <v>-0.926678118467684</v>
      </c>
      <c r="H49" s="12">
        <f>IF(F49="","",G49/100)</f>
        <v>-0.0092667811846768398</v>
      </c>
    </row>
    <row r="50" spans="6:8" ht="15">
      <c r="F50" s="11" t="s">
        <v>56</v>
      </c>
      <c r="G50" s="10">
        <v>-0.84580676266797039</v>
      </c>
      <c r="H50" s="12">
        <f>IF(F50="","",G50/100)</f>
        <v>-0.0084580676266797043</v>
      </c>
    </row>
    <row r="51" spans="4:8" ht="15">
      <c r="D51" s="1"/>
      <c r="F51" s="11" t="s">
        <v>57</v>
      </c>
      <c r="G51" s="10">
        <v>-0.78224890759350829</v>
      </c>
      <c r="H51" s="12">
        <f>IF(F51="","",G51/100)</f>
        <v>-0.0078224890759350831</v>
      </c>
    </row>
    <row r="52" spans="4:8" ht="15">
      <c r="D52" s="1"/>
      <c r="F52" s="11" t="s">
        <v>58</v>
      </c>
      <c r="G52" s="10">
        <v>-0.77747557302802051</v>
      </c>
      <c r="H52" s="12">
        <f>IF(F52="","",G52/100)</f>
        <v>-0.0077747557302802047</v>
      </c>
    </row>
    <row r="53" spans="4:8" ht="15">
      <c r="D53" s="1"/>
      <c r="F53" s="11" t="s">
        <v>59</v>
      </c>
      <c r="G53" s="10">
        <v>-0.75649150514848595</v>
      </c>
      <c r="H53" s="12">
        <f>IF(F53="","",G53/100)</f>
        <v>-0.00756491505148486</v>
      </c>
    </row>
    <row r="54" spans="4:8" ht="15">
      <c r="D54" s="1"/>
      <c r="F54" s="11" t="s">
        <v>60</v>
      </c>
      <c r="G54" s="10">
        <v>-0.71720860738108261</v>
      </c>
      <c r="H54" s="12">
        <f>IF(F54="","",G54/100)</f>
        <v>-0.0071720860738108258</v>
      </c>
    </row>
    <row r="55" spans="4:8" ht="15">
      <c r="D55" s="1"/>
      <c r="F55" s="11" t="s">
        <v>61</v>
      </c>
      <c r="G55" s="10">
        <v>-0.65754618032149303</v>
      </c>
      <c r="H55" s="12">
        <f>IF(F55="","",G55/100)</f>
        <v>-0.0065754618032149307</v>
      </c>
    </row>
    <row r="56" spans="4:8" ht="15">
      <c r="D56" s="1"/>
      <c r="F56" s="11" t="s">
        <v>62</v>
      </c>
      <c r="G56" s="10">
        <v>-0.62313755902555368</v>
      </c>
      <c r="H56" s="12">
        <f>IF(F56="","",G56/100)</f>
        <v>-0.0062313755902555371</v>
      </c>
    </row>
    <row r="57" spans="4:8" ht="15">
      <c r="D57" s="1"/>
      <c r="F57" s="11" t="s">
        <v>63</v>
      </c>
      <c r="G57" s="10">
        <v>-0.59141221187096971</v>
      </c>
      <c r="H57" s="12">
        <f>IF(F57="","",G57/100)</f>
        <v>-0.0059141221187096974</v>
      </c>
    </row>
    <row r="58" spans="4:8" ht="15">
      <c r="D58" s="1"/>
      <c r="F58" s="11" t="s">
        <v>64</v>
      </c>
      <c r="G58" s="10">
        <v>-0.55113135083728282</v>
      </c>
      <c r="H58" s="12">
        <f>IF(F58="","",G58/100)</f>
        <v>-0.0055113135083728285</v>
      </c>
    </row>
    <row r="59" spans="4:8" ht="15">
      <c r="D59" s="1"/>
      <c r="F59" s="11" t="s">
        <v>65</v>
      </c>
      <c r="G59" s="10">
        <v>-0.53187612584804311</v>
      </c>
      <c r="H59" s="12">
        <f>IF(F59="","",G59/100)</f>
        <v>-0.0053187612584804315</v>
      </c>
    </row>
    <row r="60" spans="4:8" ht="15">
      <c r="D60" s="1"/>
      <c r="F60" s="11" t="s">
        <v>66</v>
      </c>
      <c r="G60" s="10">
        <v>-0.50047808707859631</v>
      </c>
      <c r="H60" s="12">
        <f>IF(F60="","",G60/100)</f>
        <v>-0.0050047808707859628</v>
      </c>
    </row>
    <row r="61" spans="4:8" ht="15">
      <c r="D61" s="1"/>
      <c r="F61" s="11" t="s">
        <v>67</v>
      </c>
      <c r="G61" s="10">
        <v>-0.49314703386829195</v>
      </c>
      <c r="H61" s="12">
        <f>IF(F61="","",G61/100)</f>
        <v>-0.0049314703386829197</v>
      </c>
    </row>
    <row r="62" spans="4:8" ht="15">
      <c r="D62" s="1"/>
      <c r="F62" s="11" t="s">
        <v>68</v>
      </c>
      <c r="G62" s="10">
        <v>-0.46170906347585844</v>
      </c>
      <c r="H62" s="12">
        <f>IF(F62="","",G62/100)</f>
        <v>-0.0046170906347585841</v>
      </c>
    </row>
    <row r="63" spans="4:8" ht="15">
      <c r="D63" s="1"/>
      <c r="F63" s="11" t="s">
        <v>69</v>
      </c>
      <c r="G63" s="10">
        <v>-0.45695785495720603</v>
      </c>
      <c r="H63" s="12">
        <f>IF(F63="","",G63/100)</f>
        <v>-0.0045695785495720601</v>
      </c>
    </row>
    <row r="64" spans="4:8" ht="15">
      <c r="D64" s="1"/>
      <c r="F64" s="11" t="s">
        <v>70</v>
      </c>
      <c r="G64" s="10">
        <v>-0.45286715475976053</v>
      </c>
      <c r="H64" s="12">
        <f>IF(F64="","",G64/100)</f>
        <v>-0.004528671547597605</v>
      </c>
    </row>
    <row r="65" spans="4:8" ht="15">
      <c r="D65" s="1"/>
      <c r="F65" s="11" t="s">
        <v>71</v>
      </c>
      <c r="G65" s="10">
        <v>-0.40637620627318749</v>
      </c>
      <c r="H65" s="12">
        <f>IF(F65="","",G65/100)</f>
        <v>-0.0040637620627318747</v>
      </c>
    </row>
    <row r="66" spans="4:8" ht="15">
      <c r="D66" s="1"/>
      <c r="F66" s="11" t="s">
        <v>72</v>
      </c>
      <c r="G66" s="10">
        <v>-0.36077501290077152</v>
      </c>
      <c r="H66" s="12">
        <f>IF(F66="","",G66/100)</f>
        <v>-0.0036077501290077154</v>
      </c>
    </row>
    <row r="67" spans="4:8" ht="15">
      <c r="D67" s="1"/>
      <c r="F67" s="11" t="s">
        <v>73</v>
      </c>
      <c r="G67" s="10">
        <v>-0.34724375695081222</v>
      </c>
      <c r="H67" s="12">
        <f>IF(F67="","",G67/100)</f>
        <v>-0.0034724375695081222</v>
      </c>
    </row>
    <row r="68" spans="4:8" ht="15">
      <c r="D68" s="1"/>
      <c r="F68" s="11" t="s">
        <v>74</v>
      </c>
      <c r="G68" s="10">
        <v>-0.30292024459061806</v>
      </c>
      <c r="H68" s="12">
        <f>IF(F68="","",G68/100)</f>
        <v>-0.0030292024459061804</v>
      </c>
    </row>
    <row r="69" spans="4:8" ht="15">
      <c r="D69" s="1"/>
      <c r="F69" s="11" t="s">
        <v>75</v>
      </c>
      <c r="G69" s="10">
        <v>-0.28449775759484458</v>
      </c>
      <c r="H69" s="12">
        <f>IF(F69="","",G69/100)</f>
        <v>-0.0028449775759484459</v>
      </c>
    </row>
    <row r="70" spans="4:8" ht="15">
      <c r="D70" s="1"/>
      <c r="F70" s="11" t="s">
        <v>76</v>
      </c>
      <c r="G70" s="10">
        <v>-0.22294826677158472</v>
      </c>
      <c r="H70" s="12">
        <f>IF(F70="","",G70/100)</f>
        <v>-0.0022294826677158471</v>
      </c>
    </row>
    <row r="71" spans="4:8" ht="15">
      <c r="D71" s="1"/>
      <c r="F71" s="11" t="s">
        <v>9</v>
      </c>
      <c r="G71" s="10">
        <v>-0.21228573789399938</v>
      </c>
      <c r="H71" s="12">
        <f>IF(F71="","",G71/100)</f>
        <v>-0.0021228573789399937</v>
      </c>
    </row>
    <row r="72" spans="4:8" ht="15">
      <c r="D72" s="1"/>
      <c r="F72" s="11"/>
      <c r="G72" s="11"/>
      <c r="H72" s="13"/>
    </row>
    <row r="73" spans="4:8" ht="15">
      <c r="D73" s="1"/>
    </row>
    <row r="74" spans="4:8" ht="15">
      <c r="D74" s="1"/>
    </row>
    <row r="75" spans="4:8" ht="15">
      <c r="D75" s="1"/>
      <c r="G75" t="s">
        <v>5</v>
      </c>
    </row>
    <row r="76" spans="4:4" ht="15">
      <c r="D76" s="1"/>
    </row>
    <row r="77" spans="4:8" ht="15">
      <c r="D77" s="1"/>
      <c r="H77" s="1"/>
    </row>
    <row r="78" spans="4:8" ht="15">
      <c r="D78" s="1"/>
      <c r="H78" s="1"/>
    </row>
    <row r="79" spans="4:8" ht="15">
      <c r="D79" s="1"/>
      <c r="H79" s="1"/>
    </row>
    <row r="80" spans="4:8" ht="15">
      <c r="D80" s="1"/>
      <c r="H80" s="1"/>
    </row>
    <row r="81" spans="4:8" ht="15">
      <c r="D81" s="1"/>
      <c r="H81" s="1"/>
    </row>
    <row r="82" spans="4:8" ht="15">
      <c r="D82" s="1"/>
      <c r="H82" s="1"/>
    </row>
    <row r="83" spans="4:8" ht="15">
      <c r="D83" s="1"/>
      <c r="H83" s="1"/>
    </row>
    <row r="84" spans="4:8" ht="15">
      <c r="D84" s="1"/>
      <c r="H84" s="1"/>
    </row>
    <row r="85" spans="4:8" ht="15">
      <c r="D85" s="1"/>
      <c r="H85" s="1"/>
    </row>
    <row r="86" spans="4:8" ht="15">
      <c r="D86" s="1"/>
      <c r="H86" s="1"/>
    </row>
    <row r="87" spans="4:8" ht="15">
      <c r="D87" s="1"/>
      <c r="H87" s="1"/>
    </row>
    <row r="88" spans="4:8" ht="15">
      <c r="D88" s="1"/>
      <c r="H88" s="1"/>
    </row>
    <row r="89" spans="4:8" ht="15">
      <c r="D89" s="1"/>
      <c r="H89" s="1"/>
    </row>
    <row r="90" spans="4:8" ht="15">
      <c r="D90" s="1"/>
      <c r="H90" s="1"/>
    </row>
    <row r="91" spans="4:8" ht="15">
      <c r="D91" s="1"/>
      <c r="H91" s="1"/>
    </row>
    <row r="92" spans="4:8" ht="15">
      <c r="D92" s="1"/>
      <c r="H92" s="1"/>
    </row>
    <row r="93" spans="4:8" ht="15">
      <c r="D93" s="1"/>
      <c r="H93" s="1"/>
    </row>
    <row r="94" spans="4:8" ht="15">
      <c r="D94" s="1"/>
      <c r="H94" s="1"/>
    </row>
    <row r="95" spans="4:8" ht="15">
      <c r="D95" s="1"/>
      <c r="H95" s="1"/>
    </row>
    <row r="96" spans="4:8" ht="15">
      <c r="D96" s="1"/>
      <c r="H96" s="1"/>
    </row>
    <row r="97" spans="4:8" ht="15">
      <c r="D97" s="1"/>
      <c r="H97" s="1"/>
    </row>
    <row r="98" spans="4:8" ht="15">
      <c r="D98" s="1"/>
      <c r="H98" s="1"/>
    </row>
    <row r="99" spans="4:8" ht="15">
      <c r="D99" s="1"/>
      <c r="H99" s="1"/>
    </row>
    <row r="100" spans="4:8" ht="15">
      <c r="D100" s="1"/>
      <c r="H100" s="1"/>
    </row>
    <row r="101" spans="4:8" ht="15">
      <c r="D101" s="1"/>
      <c r="H101" s="1"/>
    </row>
    <row r="102" spans="4:8" ht="15">
      <c r="D102" s="1"/>
      <c r="H102" s="1"/>
    </row>
    <row r="103" spans="4:8" ht="15">
      <c r="D103" s="1"/>
      <c r="H103" s="1"/>
    </row>
    <row r="104" spans="4:8" ht="15">
      <c r="D104" s="1"/>
      <c r="H104" s="1"/>
    </row>
    <row r="105" spans="4:8" ht="15">
      <c r="D105" s="1"/>
      <c r="H105" s="1"/>
    </row>
    <row r="106" spans="4:8" ht="15">
      <c r="D106" s="1"/>
      <c r="H106" s="1"/>
    </row>
    <row r="107" spans="4:8" ht="15">
      <c r="D107" s="1"/>
      <c r="H107" s="1"/>
    </row>
    <row r="108" spans="4:8" ht="15">
      <c r="D108" s="1"/>
      <c r="H108" s="1"/>
    </row>
    <row r="109" spans="4:8" ht="15">
      <c r="D109" s="1"/>
      <c r="H109" s="1"/>
    </row>
    <row r="110" spans="4:8" ht="15">
      <c r="D110" s="1"/>
      <c r="H110" s="1"/>
    </row>
    <row r="111" spans="4:8" ht="15">
      <c r="D111" s="1"/>
      <c r="H111" s="1"/>
    </row>
    <row r="112" spans="4:8" ht="15">
      <c r="D112" s="1"/>
      <c r="H112" s="1"/>
    </row>
    <row r="113" spans="4:8" ht="15">
      <c r="D113" s="1"/>
      <c r="H113" s="1"/>
    </row>
    <row r="114" spans="4:8" ht="15">
      <c r="D114" s="1"/>
      <c r="H114" s="1"/>
    </row>
    <row r="115" spans="4:8" ht="15">
      <c r="D115" s="1"/>
      <c r="H115" s="1"/>
    </row>
    <row r="116" spans="4:8" ht="15">
      <c r="D116" s="1"/>
      <c r="H116" s="1"/>
    </row>
    <row r="117" spans="4:8" ht="15">
      <c r="D117" s="1"/>
      <c r="H117" s="1"/>
    </row>
    <row r="118" spans="4:8" ht="15">
      <c r="D118" s="1"/>
      <c r="H118" s="1"/>
    </row>
    <row r="119" spans="4:8" ht="15">
      <c r="D119" s="1"/>
      <c r="H119" s="1"/>
    </row>
    <row r="120" spans="4:8" ht="15">
      <c r="D120" s="1"/>
      <c r="H120" s="1"/>
    </row>
    <row r="121" spans="4:8" ht="15">
      <c r="D121" s="1"/>
      <c r="H121" s="1"/>
    </row>
    <row r="122" spans="4:8" ht="15">
      <c r="D122" s="1"/>
      <c r="H122" s="1"/>
    </row>
    <row r="123" spans="4:8" ht="15">
      <c r="D123" s="1"/>
      <c r="H123" s="1"/>
    </row>
    <row r="124" spans="4:8" ht="15">
      <c r="D124" s="1"/>
      <c r="H124" s="1"/>
    </row>
    <row r="125" spans="4:8" ht="15">
      <c r="D125" s="1"/>
      <c r="H125" s="1"/>
    </row>
    <row r="126" spans="4:8" ht="15">
      <c r="D126" s="1"/>
      <c r="H126" s="1"/>
    </row>
    <row r="127" spans="4:8" ht="15">
      <c r="D127" s="1"/>
      <c r="H127" s="1"/>
    </row>
    <row r="128" spans="4:8" ht="15">
      <c r="D128" s="1"/>
      <c r="H128" s="1"/>
    </row>
    <row r="129" spans="4:8" ht="15">
      <c r="D129" s="1"/>
      <c r="H129" s="1"/>
    </row>
    <row r="130" spans="4:8" ht="15">
      <c r="D130" s="1"/>
      <c r="H130" s="1"/>
    </row>
    <row r="131" spans="4:8" ht="15">
      <c r="D131" s="1"/>
      <c r="H131" s="1"/>
    </row>
    <row r="132" spans="4:8" ht="15">
      <c r="D132" s="1"/>
      <c r="H132" s="1"/>
    </row>
    <row r="133" spans="4:8" ht="15">
      <c r="D133" s="1"/>
      <c r="H133" s="1"/>
    </row>
    <row r="134" spans="4:8" ht="15">
      <c r="D134" s="1"/>
      <c r="H134" s="1"/>
    </row>
    <row r="135" spans="4:8" ht="15">
      <c r="D135" s="1"/>
      <c r="H135" s="1"/>
    </row>
    <row r="136" spans="4:8" ht="15">
      <c r="D136" s="1"/>
      <c r="H136" s="1"/>
    </row>
    <row r="137" spans="4:8" ht="15">
      <c r="D137" s="1"/>
      <c r="H137" s="1"/>
    </row>
    <row r="138" spans="4:8" ht="15">
      <c r="D138" s="1"/>
      <c r="H138" s="1"/>
    </row>
    <row r="139" spans="4:8" ht="15">
      <c r="D139" s="1"/>
      <c r="H139" s="1"/>
    </row>
    <row r="140" spans="4:8" ht="15">
      <c r="D140" s="1"/>
      <c r="H140" s="1"/>
    </row>
    <row r="141" spans="4:8" ht="15">
      <c r="D141" s="1"/>
      <c r="H141" s="1"/>
    </row>
    <row r="142" spans="4:8" ht="15">
      <c r="D142" s="1"/>
      <c r="H142" s="1"/>
    </row>
    <row r="143" spans="4:8" ht="15">
      <c r="D143" s="1"/>
      <c r="H143" s="1"/>
    </row>
    <row r="144" spans="4:8" ht="15">
      <c r="D144" s="1"/>
      <c r="H144" s="1"/>
    </row>
    <row r="145" spans="4:8" ht="15">
      <c r="D145" s="1"/>
      <c r="H145" s="1"/>
    </row>
    <row r="146" spans="4:8" ht="15">
      <c r="D146" s="1"/>
      <c r="H146" s="1"/>
    </row>
    <row r="147" spans="4:8" ht="15">
      <c r="D147" s="1"/>
      <c r="H147" s="1"/>
    </row>
    <row r="148" spans="4:8" ht="15">
      <c r="D148" s="1"/>
      <c r="H148" s="1"/>
    </row>
    <row r="149" spans="4:8" ht="15">
      <c r="D149" s="1"/>
      <c r="H149" s="1"/>
    </row>
    <row r="150" spans="4:8" ht="15">
      <c r="D150" s="1"/>
      <c r="H150" s="1"/>
    </row>
    <row r="151" spans="4:8" ht="15">
      <c r="D151" s="1"/>
      <c r="H151" s="1"/>
    </row>
    <row r="152" spans="4:8" ht="15">
      <c r="D152" s="1"/>
      <c r="H152" s="1"/>
    </row>
    <row r="153" spans="4:8" ht="15">
      <c r="D153" s="1"/>
      <c r="H153" s="1"/>
    </row>
    <row r="154" spans="4:8" ht="15">
      <c r="D154" s="1"/>
      <c r="H154" s="1"/>
    </row>
    <row r="155" spans="4:8" ht="15">
      <c r="D155" s="1"/>
      <c r="H155" s="1"/>
    </row>
    <row r="156" spans="4:8" ht="15">
      <c r="D156" s="1"/>
      <c r="H156" s="1"/>
    </row>
    <row r="157" spans="4:8" ht="15">
      <c r="D157" s="1"/>
      <c r="H157" s="1"/>
    </row>
    <row r="158" spans="4:8" ht="15">
      <c r="D158" s="1"/>
      <c r="H158" s="1"/>
    </row>
    <row r="159" spans="4:8" ht="15">
      <c r="D159" s="1"/>
      <c r="H159" s="1"/>
    </row>
    <row r="160" spans="4:8" ht="15">
      <c r="D160" s="1"/>
      <c r="H160" s="1"/>
    </row>
    <row r="161" spans="4:8" ht="15">
      <c r="D161" s="1"/>
      <c r="H161" s="1"/>
    </row>
    <row r="162" spans="4:8" ht="15">
      <c r="D162" s="1"/>
      <c r="H162" s="1"/>
    </row>
    <row r="163" spans="4:8" ht="15">
      <c r="D163" s="1"/>
      <c r="H163" s="1"/>
    </row>
    <row r="164" spans="4:8" ht="15">
      <c r="D164" s="1"/>
      <c r="H164" s="1"/>
    </row>
    <row r="165" spans="4:8" ht="15">
      <c r="D165" s="1"/>
      <c r="H165" s="1"/>
    </row>
    <row r="166" spans="4:8" ht="15">
      <c r="D166" s="1"/>
      <c r="H166" s="1"/>
    </row>
    <row r="167" spans="4:8" ht="15">
      <c r="D167" s="1"/>
      <c r="H167" s="1"/>
    </row>
    <row r="168" spans="4:8" ht="15">
      <c r="D168" s="1"/>
      <c r="H168" s="1"/>
    </row>
    <row r="169" spans="4:8" ht="15">
      <c r="D169" s="1"/>
      <c r="H169" s="1"/>
    </row>
    <row r="170" spans="4:8" ht="15">
      <c r="D170" s="1"/>
      <c r="H170" s="1"/>
    </row>
    <row r="171" spans="4:8" ht="15">
      <c r="D171" s="1"/>
      <c r="H171" s="1"/>
    </row>
    <row r="172" spans="4:8" ht="15">
      <c r="D172" s="1"/>
      <c r="H172" s="1"/>
    </row>
    <row r="173" spans="4:8" ht="15">
      <c r="D173" s="1"/>
      <c r="H173" s="1"/>
    </row>
    <row r="174" spans="4:8" ht="15">
      <c r="D174" s="1"/>
      <c r="H174" s="1"/>
    </row>
    <row r="175" spans="8:8" ht="15">
      <c r="H175" s="1"/>
    </row>
    <row r="176" spans="8:8" ht="15">
      <c r="H176" s="1"/>
    </row>
    <row r="177" spans="8:8" ht="15">
      <c r="H177" s="1"/>
    </row>
    <row r="178" spans="8:8" ht="15">
      <c r="H178" s="1"/>
    </row>
    <row r="179" spans="8:8" ht="15">
      <c r="H179" s="1"/>
    </row>
    <row r="180" spans="8:8" ht="15">
      <c r="H180" s="1"/>
    </row>
    <row r="181" spans="8:8" ht="15">
      <c r="H181" s="1"/>
    </row>
    <row r="182" spans="8:8" ht="15">
      <c r="H182" s="1"/>
    </row>
    <row r="183" spans="8:8" ht="15">
      <c r="H183" s="1"/>
    </row>
    <row r="184" spans="8:8" ht="15">
      <c r="H184" s="1"/>
    </row>
    <row r="185" spans="8:8" ht="15">
      <c r="H185" s="1"/>
    </row>
    <row r="186" spans="8:8" ht="15">
      <c r="H186" s="1"/>
    </row>
    <row r="187" spans="8:8" ht="15">
      <c r="H187" s="1"/>
    </row>
    <row r="188" spans="8:8" ht="15">
      <c r="H188" s="1"/>
    </row>
    <row r="189" spans="8:8" ht="15">
      <c r="H189" s="1"/>
    </row>
    <row r="190" spans="8:8" ht="15">
      <c r="H190" s="1"/>
    </row>
    <row r="191" spans="8:8" ht="15">
      <c r="H191" s="1"/>
    </row>
    <row r="192" spans="8:8" ht="15">
      <c r="H192" s="1"/>
    </row>
    <row r="193" spans="8:8" ht="15">
      <c r="H193" s="1"/>
    </row>
    <row r="194" spans="8:8" ht="15">
      <c r="H194" s="1"/>
    </row>
    <row r="195" spans="8:8" ht="15">
      <c r="H195" s="1"/>
    </row>
    <row r="196" spans="8:8" ht="15">
      <c r="H196" s="1"/>
    </row>
    <row r="197" spans="8:8" ht="15">
      <c r="H197" s="1"/>
    </row>
    <row r="198" spans="8:8" ht="15">
      <c r="H198" s="1"/>
    </row>
    <row r="199" spans="8:8" ht="15">
      <c r="H199" s="1"/>
    </row>
  </sheetData>
  <pageMargins left="0.7" right="0.7" top="0.75" bottom="0.75" header="0.3" footer="0.3"/>
  <pageSetup orientation="portrait" paperSize="1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4E2F19BB-E553-43BB-81C1-D22E0CC77CE4}">
  <dimension ref="A1:Q199"/>
  <sheetViews>
    <sheetView workbookViewId="0" topLeftCell="A1"/>
  </sheetViews>
  <sheetFormatPr defaultRowHeight="15"/>
  <cols>
    <col min="2" max="2" width="28.5714285714286" customWidth="1"/>
    <col min="3" max="3" width="0" hidden="1" customWidth="1"/>
    <col min="4" max="4" width="15.7142857142857" bestFit="1" customWidth="1"/>
    <col min="6" max="6" width="28.5714285714286" customWidth="1"/>
    <col min="7" max="7" width="0" hidden="1" customWidth="1"/>
    <col min="8" max="8" width="15.7142857142857" bestFit="1" customWidth="1"/>
    <col min="11" max="11" width="28.5714285714286" customWidth="1"/>
    <col min="12" max="12" width="15.7142857142857" hidden="1" customWidth="1"/>
    <col min="13" max="13" width="15.7142857142857" bestFit="1" customWidth="1"/>
    <col min="15" max="15" width="28.5714285714286" customWidth="1"/>
    <col min="16" max="16" width="15.7142857142857" hidden="1" customWidth="1"/>
    <col min="17" max="17" width="15.7142857142857" bestFit="1" customWidth="1"/>
  </cols>
  <sheetData>
    <row r="1" spans="1:17" ht="18.75">
      <c r="A1" s="14" t="s">
        <v>0</v>
      </c>
    </row>
    <row r="2" spans="1:17" ht="15">
      <c r="A2" s="17" t="s">
        <v>12</v>
      </c>
    </row>
    <row r="3" spans="1:17" ht="15">
      <c r="A3" s="18" t="s">
        <v>6</v>
      </c>
    </row>
    <row r="4" spans="1:17" ht="15">
      <c r="A4" s="18" t="s">
        <v>7</v>
      </c>
    </row>
    <row r="5" spans="1:17" ht="15"/>
    <row r="6" spans="1:17" ht="15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ht="15">
      <c r="K7" s="2"/>
      <c r="O7" s="2"/>
    </row>
    <row r="8" spans="1:17" ht="15.75" thickBot="1"/>
    <row r="9" spans="1:17" ht="15.75" thickBot="1">
      <c r="B9" s="3" t="s">
        <v>15</v>
      </c>
      <c r="C9" s="4"/>
      <c r="D9" s="4" t="s">
        <v>2</v>
      </c>
      <c r="E9" s="16"/>
      <c r="F9" s="4" t="s">
        <v>15</v>
      </c>
      <c r="G9" s="4"/>
      <c r="H9" s="5" t="s">
        <v>2</v>
      </c>
      <c r="I9" s="2"/>
      <c r="J9" s="2"/>
      <c r="K9" s="3" t="s">
        <v>15</v>
      </c>
      <c r="L9" s="4" t="s">
        <v>2</v>
      </c>
      <c r="M9" s="4" t="s">
        <v>2</v>
      </c>
      <c r="N9" s="4"/>
      <c r="O9" s="4" t="s">
        <v>15</v>
      </c>
      <c r="P9" s="5" t="s">
        <v>2</v>
      </c>
      <c r="Q9" s="5" t="s">
        <v>2</v>
      </c>
    </row>
    <row r="10" spans="1:17" ht="15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ht="15">
      <c r="B11" s="9" t="s">
        <v>169</v>
      </c>
      <c r="C11" s="10">
        <v>10.032656621227209</v>
      </c>
      <c r="D11" s="10">
        <f>IF(B11="","",(C11/100))</f>
        <v>0.10032656621227209</v>
      </c>
      <c r="F11" s="11" t="s">
        <v>16</v>
      </c>
      <c r="G11" s="10">
        <v>-5.1704988081845586</v>
      </c>
      <c r="H11" s="12">
        <f>IF(F11="","",G11/100)</f>
        <v>-0.051704988081845586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ht="15">
      <c r="B12" s="9" t="s">
        <v>170</v>
      </c>
      <c r="C12" s="10">
        <v>6.5645846909600483</v>
      </c>
      <c r="D12" s="10">
        <f>IF(B12="","",(C12/100))</f>
        <v>0.065645846909600486</v>
      </c>
      <c r="F12" s="11" t="s">
        <v>17</v>
      </c>
      <c r="G12" s="10">
        <v>-4.5072716016839154</v>
      </c>
      <c r="H12" s="12">
        <f>IF(F12="","",G12/100)</f>
        <v>-0.045072716016839154</v>
      </c>
      <c r="K12" s="9"/>
      <c r="L12" s="11"/>
      <c r="M12" s="11"/>
      <c r="O12" s="11"/>
      <c r="P12" s="11"/>
      <c r="Q12" s="13"/>
    </row>
    <row r="13" spans="1:17" ht="15">
      <c r="B13" s="9" t="s">
        <v>171</v>
      </c>
      <c r="C13" s="10">
        <v>4.9922384134675024</v>
      </c>
      <c r="D13" s="10">
        <f>IF(B13="","",(C13/100))</f>
        <v>0.049922384134675021</v>
      </c>
      <c r="F13" s="11" t="s">
        <v>111</v>
      </c>
      <c r="G13" s="10">
        <v>-3.8342330644920741</v>
      </c>
      <c r="H13" s="12">
        <f>IF(F13="","",G13/100)</f>
        <v>-0.038342330644920743</v>
      </c>
      <c r="I13" s="1"/>
    </row>
    <row r="14" spans="1:17" ht="15">
      <c r="B14" s="9" t="s">
        <v>172</v>
      </c>
      <c r="C14" s="10">
        <v>4.7916088472466889</v>
      </c>
      <c r="D14" s="10">
        <f>IF(B14="","",(C14/100))</f>
        <v>0.047916088472466888</v>
      </c>
      <c r="F14" s="11" t="s">
        <v>112</v>
      </c>
      <c r="G14" s="10">
        <v>-3.432968433269576</v>
      </c>
      <c r="H14" s="12">
        <f>IF(F14="","",G14/100)</f>
        <v>-0.034329684332695759</v>
      </c>
      <c r="I14" s="1"/>
    </row>
    <row r="15" spans="1:17" ht="15">
      <c r="B15" s="9" t="s">
        <v>173</v>
      </c>
      <c r="C15" s="10">
        <v>4.4429121029125751</v>
      </c>
      <c r="D15" s="10">
        <f>IF(B15="","",(C15/100))</f>
        <v>0.044429121029125752</v>
      </c>
      <c r="F15" s="11" t="s">
        <v>113</v>
      </c>
      <c r="G15" s="10">
        <v>-3.4186706210816249</v>
      </c>
      <c r="H15" s="12">
        <f>IF(F15="","",G15/100)</f>
        <v>-0.034186706210816251</v>
      </c>
      <c r="I15" s="1"/>
    </row>
    <row r="16" spans="2:9" ht="15">
      <c r="B16" s="9" t="s">
        <v>174</v>
      </c>
      <c r="C16" s="10">
        <v>4.288895898514375</v>
      </c>
      <c r="D16" s="10">
        <f>IF(B16="","",(C16/100))</f>
        <v>0.042888958985143749</v>
      </c>
      <c r="F16" s="11" t="s">
        <v>114</v>
      </c>
      <c r="G16" s="10">
        <v>-3.3953542191112787</v>
      </c>
      <c r="H16" s="12">
        <f>IF(F16="","",G16/100)</f>
        <v>-0.033953542191112789</v>
      </c>
      <c r="I16" s="1"/>
    </row>
    <row r="17" spans="2:8" ht="15">
      <c r="B17" s="9" t="s">
        <v>175</v>
      </c>
      <c r="C17" s="10">
        <v>3.8064092987500033</v>
      </c>
      <c r="D17" s="10">
        <f>IF(B17="","",(C17/100))</f>
        <v>0.038064092987500034</v>
      </c>
      <c r="F17" s="11" t="s">
        <v>115</v>
      </c>
      <c r="G17" s="10">
        <v>-3.3205937108620782</v>
      </c>
      <c r="H17" s="12">
        <f>IF(F17="","",G17/100)</f>
        <v>-0.033205937108620784</v>
      </c>
    </row>
    <row r="18" spans="2:8" ht="15">
      <c r="B18" s="9" t="s">
        <v>176</v>
      </c>
      <c r="C18" s="10">
        <v>3.0688986018070477</v>
      </c>
      <c r="D18" s="10">
        <f>IF(B18="","",(C18/100))</f>
        <v>0.030688986018070477</v>
      </c>
      <c r="F18" s="11" t="s">
        <v>116</v>
      </c>
      <c r="G18" s="10">
        <v>-3.305152152253104</v>
      </c>
      <c r="H18" s="12">
        <f>IF(F18="","",G18/100)</f>
        <v>-0.03305152152253104</v>
      </c>
    </row>
    <row r="19" spans="2:8" ht="15">
      <c r="B19" s="9" t="s">
        <v>177</v>
      </c>
      <c r="C19" s="10">
        <v>2.974535595805587</v>
      </c>
      <c r="D19" s="10">
        <f>IF(B19="","",(C19/100))</f>
        <v>0.029745355958055872</v>
      </c>
      <c r="F19" s="11" t="s">
        <v>117</v>
      </c>
      <c r="G19" s="10">
        <v>-3.1295440683041695</v>
      </c>
      <c r="H19" s="12">
        <f>IF(F19="","",G19/100)</f>
        <v>-0.031295440683041693</v>
      </c>
    </row>
    <row r="20" spans="2:8" ht="15">
      <c r="B20" s="9" t="s">
        <v>178</v>
      </c>
      <c r="C20" s="10">
        <v>2.6597141564846702</v>
      </c>
      <c r="D20" s="10">
        <f>IF(B20="","",(C20/100))</f>
        <v>0.026597141564846702</v>
      </c>
      <c r="F20" s="11" t="s">
        <v>118</v>
      </c>
      <c r="G20" s="10">
        <v>-2.8489805574986744</v>
      </c>
      <c r="H20" s="12">
        <f>IF(F20="","",G20/100)</f>
        <v>-0.028489805574986746</v>
      </c>
    </row>
    <row r="21" spans="2:8" ht="15">
      <c r="B21" s="9" t="s">
        <v>179</v>
      </c>
      <c r="C21" s="10">
        <v>2.534463384052581</v>
      </c>
      <c r="D21" s="10">
        <f>IF(B21="","",(C21/100))</f>
        <v>0.025344633840525811</v>
      </c>
      <c r="F21" s="11" t="s">
        <v>119</v>
      </c>
      <c r="G21" s="10">
        <v>-2.8465368730952396</v>
      </c>
      <c r="H21" s="12">
        <f>IF(F21="","",G21/100)</f>
        <v>-0.028465368730952397</v>
      </c>
    </row>
    <row r="22" spans="2:8" ht="15">
      <c r="B22" s="9" t="s">
        <v>180</v>
      </c>
      <c r="C22" s="10">
        <v>2.5274959704581641</v>
      </c>
      <c r="D22" s="10">
        <f>IF(B22="","",(C22/100))</f>
        <v>0.025274959704581643</v>
      </c>
      <c r="F22" s="11" t="s">
        <v>120</v>
      </c>
      <c r="G22" s="10">
        <v>-2.7632198690417806</v>
      </c>
      <c r="H22" s="12">
        <f>IF(F22="","",G22/100)</f>
        <v>-0.027632198690417806</v>
      </c>
    </row>
    <row r="23" spans="2:8" ht="15">
      <c r="B23" s="9" t="s">
        <v>181</v>
      </c>
      <c r="C23" s="10">
        <v>2.4518662620613929</v>
      </c>
      <c r="D23" s="10">
        <f>IF(B23="","",(C23/100))</f>
        <v>0.024518662620613928</v>
      </c>
      <c r="F23" s="11" t="s">
        <v>121</v>
      </c>
      <c r="G23" s="10">
        <v>-2.5298056841944709</v>
      </c>
      <c r="H23" s="12">
        <f>IF(F23="","",G23/100)</f>
        <v>-0.025298056841944708</v>
      </c>
    </row>
    <row r="24" spans="2:8" ht="15">
      <c r="B24" s="9" t="s">
        <v>182</v>
      </c>
      <c r="C24" s="10">
        <v>2.327973295734207</v>
      </c>
      <c r="D24" s="10">
        <f>IF(B24="","",(C24/100))</f>
        <v>0.023279732957342071</v>
      </c>
      <c r="F24" s="11" t="s">
        <v>122</v>
      </c>
      <c r="G24" s="10">
        <v>-2.454110615658279</v>
      </c>
      <c r="H24" s="12">
        <f>IF(F24="","",G24/100)</f>
        <v>-0.024541106156582792</v>
      </c>
    </row>
    <row r="25" spans="2:8" ht="15">
      <c r="B25" s="9" t="s">
        <v>183</v>
      </c>
      <c r="C25" s="10">
        <v>2.2621840484749103</v>
      </c>
      <c r="D25" s="10">
        <f>IF(B25="","",(C25/100))</f>
        <v>0.022621840484749103</v>
      </c>
      <c r="F25" s="11" t="s">
        <v>123</v>
      </c>
      <c r="G25" s="10">
        <v>-2.2702908225579899</v>
      </c>
      <c r="H25" s="12">
        <f>IF(F25="","",G25/100)</f>
        <v>-0.022702908225579899</v>
      </c>
    </row>
    <row r="26" spans="2:8" ht="15">
      <c r="B26" s="9" t="s">
        <v>184</v>
      </c>
      <c r="C26" s="10">
        <v>2.218799976641737</v>
      </c>
      <c r="D26" s="10">
        <f>IF(B26="","",(C26/100))</f>
        <v>0.02218799976641737</v>
      </c>
      <c r="F26" s="11" t="s">
        <v>124</v>
      </c>
      <c r="G26" s="10">
        <v>-2.2192043988824128</v>
      </c>
      <c r="H26" s="12">
        <f>IF(F26="","",G26/100)</f>
        <v>-0.022192043988824128</v>
      </c>
    </row>
    <row r="27" spans="2:8" ht="15">
      <c r="B27" s="9" t="s">
        <v>185</v>
      </c>
      <c r="C27" s="10">
        <v>2.0979262992440884</v>
      </c>
      <c r="D27" s="10">
        <f>IF(B27="","",(C27/100))</f>
        <v>0.020979262992440885</v>
      </c>
      <c r="F27" s="11" t="s">
        <v>125</v>
      </c>
      <c r="G27" s="10">
        <v>-2.2125510049526969</v>
      </c>
      <c r="H27" s="12">
        <f>IF(F27="","",G27/100)</f>
        <v>-0.022125510049526967</v>
      </c>
    </row>
    <row r="28" spans="2:8" ht="15">
      <c r="B28" s="9" t="s">
        <v>186</v>
      </c>
      <c r="C28" s="10">
        <v>1.9968619267310121</v>
      </c>
      <c r="D28" s="10">
        <f>IF(B28="","",(C28/100))</f>
        <v>0.019968619267310122</v>
      </c>
      <c r="F28" s="11" t="s">
        <v>126</v>
      </c>
      <c r="G28" s="10">
        <v>-2.1734866837248878</v>
      </c>
      <c r="H28" s="12">
        <f>IF(F28="","",G28/100)</f>
        <v>-0.02173486683724888</v>
      </c>
    </row>
    <row r="29" spans="2:8" ht="15">
      <c r="B29" s="9" t="s">
        <v>187</v>
      </c>
      <c r="C29" s="10">
        <v>1.986472098938951</v>
      </c>
      <c r="D29" s="10">
        <f>IF(B29="","",(C29/100))</f>
        <v>0.01986472098938951</v>
      </c>
      <c r="F29" s="11" t="s">
        <v>127</v>
      </c>
      <c r="G29" s="10">
        <v>-2.1534764237528137</v>
      </c>
      <c r="H29" s="12">
        <f>IF(F29="","",G29/100)</f>
        <v>-0.021534764237528137</v>
      </c>
    </row>
    <row r="30" spans="2:8" ht="15">
      <c r="B30" s="9" t="s">
        <v>188</v>
      </c>
      <c r="C30" s="10">
        <v>1.9679910923984449</v>
      </c>
      <c r="D30" s="10">
        <f>IF(B30="","",(C30/100))</f>
        <v>0.01967991092398445</v>
      </c>
      <c r="F30" s="11" t="s">
        <v>128</v>
      </c>
      <c r="G30" s="10">
        <v>-2.1391396618670315</v>
      </c>
      <c r="H30" s="12">
        <f>IF(F30="","",G30/100)</f>
        <v>-0.021391396618670316</v>
      </c>
    </row>
    <row r="31" spans="2:8" ht="15">
      <c r="B31" s="9" t="s">
        <v>189</v>
      </c>
      <c r="C31" s="10">
        <v>1.9488561827770516</v>
      </c>
      <c r="D31" s="10">
        <f>IF(B31="","",(C31/100))</f>
        <v>0.019488561827770517</v>
      </c>
      <c r="F31" s="11" t="s">
        <v>129</v>
      </c>
      <c r="G31" s="10">
        <v>-2.0454718574419917</v>
      </c>
      <c r="H31" s="12">
        <f>IF(F31="","",G31/100)</f>
        <v>-0.020454718574419918</v>
      </c>
    </row>
    <row r="32" spans="2:8" ht="15">
      <c r="B32" s="9" t="s">
        <v>190</v>
      </c>
      <c r="C32" s="10">
        <v>1.9307280114811938</v>
      </c>
      <c r="D32" s="10">
        <f>IF(B32="","",(C32/100))</f>
        <v>0.019307280114811937</v>
      </c>
      <c r="F32" s="11" t="s">
        <v>130</v>
      </c>
      <c r="G32" s="10">
        <v>-2.033411263528131</v>
      </c>
      <c r="H32" s="12">
        <f>IF(F32="","",G32/100)</f>
        <v>-0.020334112635281308</v>
      </c>
    </row>
    <row r="33" spans="2:8" ht="15">
      <c r="B33" s="9" t="s">
        <v>191</v>
      </c>
      <c r="C33" s="10">
        <v>1.7946684706179672</v>
      </c>
      <c r="D33" s="10">
        <f>IF(B33="","",(C33/100))</f>
        <v>0.017946684706179671</v>
      </c>
      <c r="F33" s="11" t="s">
        <v>131</v>
      </c>
      <c r="G33" s="10">
        <v>-1.9741664165062998</v>
      </c>
      <c r="H33" s="12">
        <f>IF(F33="","",G33/100)</f>
        <v>-0.019741664165062997</v>
      </c>
    </row>
    <row r="34" spans="2:8" ht="15">
      <c r="B34" s="9" t="s">
        <v>192</v>
      </c>
      <c r="C34" s="10">
        <v>1.6640148823011673</v>
      </c>
      <c r="D34" s="10">
        <f>IF(B34="","",(C34/100))</f>
        <v>0.016640148823011673</v>
      </c>
      <c r="F34" s="11" t="s">
        <v>132</v>
      </c>
      <c r="G34" s="10">
        <v>-1.929297673838144</v>
      </c>
      <c r="H34" s="12">
        <f>IF(F34="","",G34/100)</f>
        <v>-0.019292976738381439</v>
      </c>
    </row>
    <row r="35" spans="2:8" ht="15">
      <c r="B35" s="9" t="s">
        <v>193</v>
      </c>
      <c r="C35" s="10">
        <v>1.5499138700087787</v>
      </c>
      <c r="D35" s="10">
        <f>IF(B35="","",(C35/100))</f>
        <v>0.015499138700087787</v>
      </c>
      <c r="F35" s="11" t="s">
        <v>133</v>
      </c>
      <c r="G35" s="10">
        <v>-1.6379702994790253</v>
      </c>
      <c r="H35" s="12">
        <f>IF(F35="","",G35/100)</f>
        <v>-0.016379702994790253</v>
      </c>
    </row>
    <row r="36" spans="2:8" ht="15">
      <c r="B36" s="9" t="s">
        <v>194</v>
      </c>
      <c r="C36" s="10">
        <v>1.5162825406658633</v>
      </c>
      <c r="D36" s="10">
        <f>IF(B36="","",(C36/100))</f>
        <v>0.015162825406658633</v>
      </c>
      <c r="F36" s="11" t="s">
        <v>134</v>
      </c>
      <c r="G36" s="10">
        <v>-1.5474968939695712</v>
      </c>
      <c r="H36" s="12">
        <f>IF(F36="","",G36/100)</f>
        <v>-0.015474968939695712</v>
      </c>
    </row>
    <row r="37" spans="2:8" ht="15">
      <c r="B37" s="9" t="s">
        <v>195</v>
      </c>
      <c r="C37" s="10">
        <v>1.4198630546469748</v>
      </c>
      <c r="D37" s="10">
        <f>IF(B37="","",(C37/100))</f>
        <v>0.014198630546469748</v>
      </c>
      <c r="F37" s="11" t="s">
        <v>135</v>
      </c>
      <c r="G37" s="10">
        <v>-1.5376735183298007</v>
      </c>
      <c r="H37" s="12">
        <f>IF(F37="","",G37/100)</f>
        <v>-0.015376735183298008</v>
      </c>
    </row>
    <row r="38" spans="2:8" ht="15">
      <c r="B38" s="9" t="s">
        <v>196</v>
      </c>
      <c r="C38" s="10">
        <v>1.3616945285188287</v>
      </c>
      <c r="D38" s="10">
        <f>IF(B38="","",(C38/100))</f>
        <v>0.013616945285188286</v>
      </c>
      <c r="F38" s="11" t="s">
        <v>136</v>
      </c>
      <c r="G38" s="10">
        <v>-1.5215067098010393</v>
      </c>
      <c r="H38" s="12">
        <f>IF(F38="","",G38/100)</f>
        <v>-0.015215067098010394</v>
      </c>
    </row>
    <row r="39" spans="2:8" ht="15">
      <c r="B39" s="9" t="s">
        <v>197</v>
      </c>
      <c r="C39" s="10">
        <v>1.3511011926338614</v>
      </c>
      <c r="D39" s="10">
        <f>IF(B39="","",(C39/100))</f>
        <v>0.013511011926338613</v>
      </c>
      <c r="F39" s="11" t="s">
        <v>137</v>
      </c>
      <c r="G39" s="10">
        <v>-1.4898873451015626</v>
      </c>
      <c r="H39" s="12">
        <f>IF(F39="","",G39/100)</f>
        <v>-0.014898873451015626</v>
      </c>
    </row>
    <row r="40" spans="2:8" ht="15">
      <c r="B40" s="9" t="s">
        <v>198</v>
      </c>
      <c r="C40" s="10">
        <v>1.3056266021448164</v>
      </c>
      <c r="D40" s="10">
        <f>IF(B40="","",(C40/100))</f>
        <v>0.013056266021448165</v>
      </c>
      <c r="F40" s="11" t="s">
        <v>138</v>
      </c>
      <c r="G40" s="10">
        <v>-1.2536474121179391</v>
      </c>
      <c r="H40" s="12">
        <f>IF(F40="","",G40/100)</f>
        <v>-0.01253647412117939</v>
      </c>
    </row>
    <row r="41" spans="2:8" ht="15">
      <c r="B41" s="9" t="s">
        <v>199</v>
      </c>
      <c r="C41" s="10">
        <v>1.0144456000955313</v>
      </c>
      <c r="D41" s="10">
        <f>IF(B41="","",(C41/100))</f>
        <v>0.010144456000955314</v>
      </c>
      <c r="F41" s="11" t="s">
        <v>139</v>
      </c>
      <c r="G41" s="10">
        <v>-1.1839464368861896</v>
      </c>
      <c r="H41" s="12">
        <f>IF(F41="","",G41/100)</f>
        <v>-0.011839464368861897</v>
      </c>
    </row>
    <row r="42" spans="2:8" ht="15">
      <c r="B42" s="9" t="s">
        <v>200</v>
      </c>
      <c r="C42" s="10">
        <v>0.62192586338377553</v>
      </c>
      <c r="D42" s="10">
        <f>IF(B42="","",(C42/100))</f>
        <v>0.0062192586338377549</v>
      </c>
      <c r="F42" s="11" t="s">
        <v>140</v>
      </c>
      <c r="G42" s="10">
        <v>-1.1038327999980688</v>
      </c>
      <c r="H42" s="12">
        <f>IF(F42="","",G42/100)</f>
        <v>-0.011038327999980689</v>
      </c>
    </row>
    <row r="43" spans="2:8" ht="15">
      <c r="B43" s="9" t="s">
        <v>201</v>
      </c>
      <c r="C43" s="10">
        <v>0.46883194855321542</v>
      </c>
      <c r="D43" s="10">
        <f>IF(B43="","",(C43/100))</f>
        <v>0.0046883194855321542</v>
      </c>
      <c r="F43" s="11" t="s">
        <v>141</v>
      </c>
      <c r="G43" s="10">
        <v>-1.0732978734402292</v>
      </c>
      <c r="H43" s="12">
        <f>IF(F43="","",G43/100)</f>
        <v>-0.010732978734402291</v>
      </c>
    </row>
    <row r="44" spans="2:8" ht="15">
      <c r="B44" s="9" t="s">
        <v>202</v>
      </c>
      <c r="C44" s="10">
        <v>0.44721761564726037</v>
      </c>
      <c r="D44" s="10">
        <f>IF(B44="","",(C44/100))</f>
        <v>0.0044721761564726036</v>
      </c>
      <c r="F44" s="11" t="s">
        <v>142</v>
      </c>
      <c r="G44" s="10">
        <v>-1.0505283383197708</v>
      </c>
      <c r="H44" s="12">
        <f>IF(F44="","",G44/100)</f>
        <v>-0.010505283383197707</v>
      </c>
    </row>
    <row r="45" spans="2:8" ht="15">
      <c r="B45" s="9" t="s">
        <v>203</v>
      </c>
      <c r="C45" s="10">
        <v>0.43950969956230901</v>
      </c>
      <c r="D45" s="10">
        <f>IF(B45="","",(C45/100))</f>
        <v>0.0043950969956230903</v>
      </c>
      <c r="F45" s="11" t="s">
        <v>143</v>
      </c>
      <c r="G45" s="10">
        <v>-1.0233135625590861</v>
      </c>
      <c r="H45" s="12">
        <f>IF(F45="","",G45/100)</f>
        <v>-0.010233135625590861</v>
      </c>
    </row>
    <row r="46" spans="2:8" ht="15">
      <c r="B46" s="9" t="s">
        <v>204</v>
      </c>
      <c r="C46" s="10">
        <v>0.38619037808332551</v>
      </c>
      <c r="D46" s="10">
        <f>IF(B46="","",(C46/100))</f>
        <v>0.0038619037808332551</v>
      </c>
      <c r="F46" s="11" t="s">
        <v>144</v>
      </c>
      <c r="G46" s="10">
        <v>-1.0124649915953887</v>
      </c>
      <c r="H46" s="12">
        <f>IF(F46="","",G46/100)</f>
        <v>-0.010124649915953887</v>
      </c>
    </row>
    <row r="47" spans="2:8" ht="15">
      <c r="B47" s="9" t="s">
        <v>13</v>
      </c>
      <c r="C47" s="10">
        <v>0.14305569396678564</v>
      </c>
      <c r="D47" s="10">
        <f>IF(B47="","",(C47/100))</f>
        <v>0.0014305569396678563</v>
      </c>
      <c r="F47" s="11" t="s">
        <v>145</v>
      </c>
      <c r="G47" s="10">
        <v>-0.98365098706492349</v>
      </c>
      <c r="H47" s="12">
        <f>IF(F47="","",G47/100)</f>
        <v>-0.0098365098706492352</v>
      </c>
    </row>
    <row r="48" spans="2:8" ht="15">
      <c r="B48" s="9"/>
      <c r="C48" s="11"/>
      <c r="D48" s="11"/>
      <c r="F48" s="11" t="s">
        <v>146</v>
      </c>
      <c r="G48" s="10">
        <v>-0.94381664013024091</v>
      </c>
      <c r="H48" s="12">
        <f>IF(F48="","",G48/100)</f>
        <v>-0.0094381664013024093</v>
      </c>
    </row>
    <row r="49" spans="2:8" ht="15">
      <c r="F49" s="11" t="s">
        <v>147</v>
      </c>
      <c r="G49" s="10">
        <v>-0.926678118467684</v>
      </c>
      <c r="H49" s="12">
        <f>IF(F49="","",G49/100)</f>
        <v>-0.0092667811846768398</v>
      </c>
    </row>
    <row r="50" spans="2:8" ht="15">
      <c r="F50" s="11" t="s">
        <v>148</v>
      </c>
      <c r="G50" s="10">
        <v>-0.84580676266797039</v>
      </c>
      <c r="H50" s="12">
        <f>IF(F50="","",G50/100)</f>
        <v>-0.0084580676266797043</v>
      </c>
    </row>
    <row r="51" spans="2:8" ht="15">
      <c r="F51" s="11" t="s">
        <v>149</v>
      </c>
      <c r="G51" s="10">
        <v>-0.78224890759350829</v>
      </c>
      <c r="H51" s="12">
        <f>IF(F51="","",G51/100)</f>
        <v>-0.0078224890759350831</v>
      </c>
    </row>
    <row r="52" spans="6:8" ht="15">
      <c r="F52" s="11" t="s">
        <v>150</v>
      </c>
      <c r="G52" s="10">
        <v>-0.77747557302802051</v>
      </c>
      <c r="H52" s="12">
        <f>IF(F52="","",G52/100)</f>
        <v>-0.0077747557302802047</v>
      </c>
    </row>
    <row r="53" spans="4:8" ht="15">
      <c r="D53" s="1"/>
      <c r="F53" s="11" t="s">
        <v>151</v>
      </c>
      <c r="G53" s="10">
        <v>-0.75649150514848595</v>
      </c>
      <c r="H53" s="12">
        <f>IF(F53="","",G53/100)</f>
        <v>-0.00756491505148486</v>
      </c>
    </row>
    <row r="54" spans="4:8" ht="15">
      <c r="D54" s="1"/>
      <c r="F54" s="11" t="s">
        <v>152</v>
      </c>
      <c r="G54" s="10">
        <v>-0.71720860738108261</v>
      </c>
      <c r="H54" s="12">
        <f>IF(F54="","",G54/100)</f>
        <v>-0.0071720860738108258</v>
      </c>
    </row>
    <row r="55" spans="4:8" ht="15">
      <c r="D55" s="1"/>
      <c r="F55" s="11" t="s">
        <v>153</v>
      </c>
      <c r="G55" s="10">
        <v>-0.67016588241884512</v>
      </c>
      <c r="H55" s="12">
        <f>IF(F55="","",G55/100)</f>
        <v>-0.0067016588241884511</v>
      </c>
    </row>
    <row r="56" spans="4:8" ht="15">
      <c r="D56" s="1"/>
      <c r="F56" s="11" t="s">
        <v>154</v>
      </c>
      <c r="G56" s="10">
        <v>-0.65754618032149303</v>
      </c>
      <c r="H56" s="12">
        <f>IF(F56="","",G56/100)</f>
        <v>-0.0065754618032149307</v>
      </c>
    </row>
    <row r="57" spans="4:8" ht="15">
      <c r="D57" s="1"/>
      <c r="F57" s="11" t="s">
        <v>155</v>
      </c>
      <c r="G57" s="10">
        <v>-0.62313755902555368</v>
      </c>
      <c r="H57" s="12">
        <f>IF(F57="","",G57/100)</f>
        <v>-0.0062313755902555371</v>
      </c>
    </row>
    <row r="58" spans="4:8" ht="15">
      <c r="D58" s="1"/>
      <c r="F58" s="11" t="s">
        <v>156</v>
      </c>
      <c r="G58" s="10">
        <v>-0.59141221187096971</v>
      </c>
      <c r="H58" s="12">
        <f>IF(F58="","",G58/100)</f>
        <v>-0.0059141221187096974</v>
      </c>
    </row>
    <row r="59" spans="4:8" ht="15">
      <c r="D59" s="1"/>
      <c r="F59" s="11" t="s">
        <v>157</v>
      </c>
      <c r="G59" s="10">
        <v>-0.55113135083728282</v>
      </c>
      <c r="H59" s="12">
        <f>IF(F59="","",G59/100)</f>
        <v>-0.0055113135083728285</v>
      </c>
    </row>
    <row r="60" spans="4:8" ht="15">
      <c r="D60" s="1"/>
      <c r="F60" s="11" t="s">
        <v>158</v>
      </c>
      <c r="G60" s="10">
        <v>-0.53187612584804311</v>
      </c>
      <c r="H60" s="12">
        <f>IF(F60="","",G60/100)</f>
        <v>-0.0053187612584804315</v>
      </c>
    </row>
    <row r="61" spans="4:8" ht="15">
      <c r="D61" s="1"/>
      <c r="F61" s="11" t="s">
        <v>159</v>
      </c>
      <c r="G61" s="10">
        <v>-0.50047808707859631</v>
      </c>
      <c r="H61" s="12">
        <f>IF(F61="","",G61/100)</f>
        <v>-0.0050047808707859628</v>
      </c>
    </row>
    <row r="62" spans="4:8" ht="15">
      <c r="D62" s="1"/>
      <c r="F62" s="11" t="s">
        <v>160</v>
      </c>
      <c r="G62" s="10">
        <v>-0.49314703386829195</v>
      </c>
      <c r="H62" s="12">
        <f>IF(F62="","",G62/100)</f>
        <v>-0.0049314703386829197</v>
      </c>
    </row>
    <row r="63" spans="4:8" ht="15">
      <c r="D63" s="1"/>
      <c r="F63" s="11" t="s">
        <v>161</v>
      </c>
      <c r="G63" s="10">
        <v>-0.46170906347585844</v>
      </c>
      <c r="H63" s="12">
        <f>IF(F63="","",G63/100)</f>
        <v>-0.0046170906347585841</v>
      </c>
    </row>
    <row r="64" spans="4:8" ht="15">
      <c r="D64" s="1"/>
      <c r="F64" s="11" t="s">
        <v>162</v>
      </c>
      <c r="G64" s="10">
        <v>-0.45695785495720603</v>
      </c>
      <c r="H64" s="12">
        <f>IF(F64="","",G64/100)</f>
        <v>-0.0045695785495720601</v>
      </c>
    </row>
    <row r="65" spans="4:8" ht="15">
      <c r="D65" s="1"/>
      <c r="F65" s="11" t="s">
        <v>163</v>
      </c>
      <c r="G65" s="10">
        <v>-0.45286715475976053</v>
      </c>
      <c r="H65" s="12">
        <f>IF(F65="","",G65/100)</f>
        <v>-0.004528671547597605</v>
      </c>
    </row>
    <row r="66" spans="4:8" ht="15">
      <c r="D66" s="1"/>
      <c r="F66" s="11" t="s">
        <v>164</v>
      </c>
      <c r="G66" s="10">
        <v>-0.40637620627318749</v>
      </c>
      <c r="H66" s="12">
        <f>IF(F66="","",G66/100)</f>
        <v>-0.0040637620627318747</v>
      </c>
    </row>
    <row r="67" spans="4:8" ht="15">
      <c r="D67" s="1"/>
      <c r="F67" s="11" t="s">
        <v>165</v>
      </c>
      <c r="G67" s="10">
        <v>-0.36077501290077152</v>
      </c>
      <c r="H67" s="12">
        <f>IF(F67="","",G67/100)</f>
        <v>-0.0036077501290077154</v>
      </c>
    </row>
    <row r="68" spans="4:8" ht="15">
      <c r="D68" s="1"/>
      <c r="F68" s="11" t="s">
        <v>166</v>
      </c>
      <c r="G68" s="10">
        <v>-0.34724375695081222</v>
      </c>
      <c r="H68" s="12">
        <f>IF(F68="","",G68/100)</f>
        <v>-0.0034724375695081222</v>
      </c>
    </row>
    <row r="69" spans="4:8" ht="15">
      <c r="D69" s="1"/>
      <c r="F69" s="11" t="s">
        <v>167</v>
      </c>
      <c r="G69" s="10">
        <v>-0.30292024459061806</v>
      </c>
      <c r="H69" s="12">
        <f>IF(F69="","",G69/100)</f>
        <v>-0.0030292024459061804</v>
      </c>
    </row>
    <row r="70" spans="4:8" ht="15">
      <c r="D70" s="1"/>
      <c r="F70" s="11" t="s">
        <v>168</v>
      </c>
      <c r="G70" s="10">
        <v>-0.28449775759484458</v>
      </c>
      <c r="H70" s="12">
        <f>IF(F70="","",G70/100)</f>
        <v>-0.0028449775759484459</v>
      </c>
    </row>
    <row r="71" spans="4:8" ht="15">
      <c r="D71" s="1"/>
      <c r="F71" s="11" t="s">
        <v>14</v>
      </c>
      <c r="G71" s="10">
        <v>-0.21228573789399938</v>
      </c>
      <c r="H71" s="12">
        <f>IF(F71="","",G71/100)</f>
        <v>-0.0021228573789399937</v>
      </c>
    </row>
    <row r="72" spans="4:8" ht="15">
      <c r="D72" s="1"/>
      <c r="F72" s="11"/>
      <c r="G72" s="11"/>
      <c r="H72" s="13"/>
    </row>
    <row r="73" spans="4:8" ht="15">
      <c r="D73" s="1"/>
    </row>
    <row r="74" spans="4:8" ht="15">
      <c r="D74" s="1"/>
    </row>
    <row r="75" spans="4:8" ht="15">
      <c r="D75" s="1"/>
      <c r="G75" t="s">
        <v>5</v>
      </c>
    </row>
    <row r="76" spans="4:4" ht="15">
      <c r="D76" s="1"/>
    </row>
    <row r="77" spans="4:8" ht="15">
      <c r="D77" s="1"/>
      <c r="H77" s="1"/>
    </row>
    <row r="78" spans="4:8" ht="15">
      <c r="D78" s="1"/>
      <c r="H78" s="1"/>
    </row>
    <row r="79" spans="4:8" ht="15">
      <c r="D79" s="1"/>
      <c r="H79" s="1"/>
    </row>
    <row r="80" spans="4:8" ht="15">
      <c r="D80" s="1"/>
      <c r="H80" s="1"/>
    </row>
    <row r="81" spans="4:8" ht="15">
      <c r="D81" s="1"/>
      <c r="H81" s="1"/>
    </row>
    <row r="82" spans="4:8" ht="15">
      <c r="D82" s="1"/>
      <c r="H82" s="1"/>
    </row>
    <row r="83" spans="4:8" ht="15">
      <c r="D83" s="1"/>
      <c r="H83" s="1"/>
    </row>
    <row r="84" spans="4:8" ht="15">
      <c r="D84" s="1"/>
      <c r="H84" s="1"/>
    </row>
    <row r="85" spans="4:8" ht="15">
      <c r="D85" s="1"/>
      <c r="H85" s="1"/>
    </row>
    <row r="86" spans="4:8" ht="15">
      <c r="D86" s="1"/>
      <c r="H86" s="1"/>
    </row>
    <row r="87" spans="4:8" ht="15">
      <c r="D87" s="1"/>
      <c r="H87" s="1"/>
    </row>
    <row r="88" spans="4:8" ht="15">
      <c r="D88" s="1"/>
      <c r="H88" s="1"/>
    </row>
    <row r="89" spans="4:8" ht="15">
      <c r="D89" s="1"/>
      <c r="H89" s="1"/>
    </row>
    <row r="90" spans="4:8" ht="15">
      <c r="D90" s="1"/>
      <c r="H90" s="1"/>
    </row>
    <row r="91" spans="4:8" ht="15">
      <c r="D91" s="1"/>
      <c r="H91" s="1"/>
    </row>
    <row r="92" spans="4:8" ht="15">
      <c r="D92" s="1"/>
      <c r="H92" s="1"/>
    </row>
    <row r="93" spans="4:8" ht="15">
      <c r="D93" s="1"/>
      <c r="H93" s="1"/>
    </row>
    <row r="94" spans="4:8" ht="15">
      <c r="D94" s="1"/>
      <c r="H94" s="1"/>
    </row>
    <row r="95" spans="4:8" ht="15">
      <c r="D95" s="1"/>
      <c r="H95" s="1"/>
    </row>
    <row r="96" spans="4:8" ht="15">
      <c r="D96" s="1"/>
      <c r="H96" s="1"/>
    </row>
    <row r="97" spans="4:8" ht="15">
      <c r="D97" s="1"/>
      <c r="H97" s="1"/>
    </row>
    <row r="98" spans="4:8" ht="15">
      <c r="D98" s="1"/>
      <c r="H98" s="1"/>
    </row>
    <row r="99" spans="4:8" ht="15">
      <c r="D99" s="1"/>
      <c r="H99" s="1"/>
    </row>
    <row r="100" spans="4:8" ht="15">
      <c r="D100" s="1"/>
      <c r="H100" s="1"/>
    </row>
    <row r="101" spans="4:8" ht="15">
      <c r="D101" s="1"/>
      <c r="H101" s="1"/>
    </row>
    <row r="102" spans="4:8" ht="15">
      <c r="D102" s="1"/>
      <c r="H102" s="1"/>
    </row>
    <row r="103" spans="4:8" ht="15">
      <c r="D103" s="1"/>
      <c r="H103" s="1"/>
    </row>
    <row r="104" spans="4:8" ht="15">
      <c r="D104" s="1"/>
      <c r="H104" s="1"/>
    </row>
    <row r="105" spans="4:8" ht="15">
      <c r="D105" s="1"/>
      <c r="H105" s="1"/>
    </row>
    <row r="106" spans="4:8" ht="15">
      <c r="D106" s="1"/>
      <c r="H106" s="1"/>
    </row>
    <row r="107" spans="4:8" ht="15">
      <c r="D107" s="1"/>
      <c r="H107" s="1"/>
    </row>
    <row r="108" spans="4:8" ht="15">
      <c r="D108" s="1"/>
      <c r="H108" s="1"/>
    </row>
    <row r="109" spans="4:8" ht="15">
      <c r="D109" s="1"/>
      <c r="H109" s="1"/>
    </row>
    <row r="110" spans="4:8" ht="15">
      <c r="D110" s="1"/>
      <c r="H110" s="1"/>
    </row>
    <row r="111" spans="4:8" ht="15">
      <c r="D111" s="1"/>
      <c r="H111" s="1"/>
    </row>
    <row r="112" spans="4:8" ht="15">
      <c r="D112" s="1"/>
      <c r="H112" s="1"/>
    </row>
    <row r="113" spans="4:8" ht="15">
      <c r="D113" s="1"/>
      <c r="H113" s="1"/>
    </row>
    <row r="114" spans="4:8" ht="15">
      <c r="D114" s="1"/>
      <c r="H114" s="1"/>
    </row>
    <row r="115" spans="4:8" ht="15">
      <c r="D115" s="1"/>
      <c r="H115" s="1"/>
    </row>
    <row r="116" spans="4:8" ht="15">
      <c r="D116" s="1"/>
      <c r="H116" s="1"/>
    </row>
    <row r="117" spans="4:8" ht="15">
      <c r="D117" s="1"/>
      <c r="H117" s="1"/>
    </row>
    <row r="118" spans="4:8" ht="15">
      <c r="D118" s="1"/>
      <c r="H118" s="1"/>
    </row>
    <row r="119" spans="4:8" ht="15">
      <c r="D119" s="1"/>
      <c r="H119" s="1"/>
    </row>
    <row r="120" spans="4:8" ht="15">
      <c r="D120" s="1"/>
      <c r="H120" s="1"/>
    </row>
    <row r="121" spans="4:8" ht="15">
      <c r="D121" s="1"/>
      <c r="H121" s="1"/>
    </row>
    <row r="122" spans="4:8" ht="15">
      <c r="D122" s="1"/>
      <c r="H122" s="1"/>
    </row>
    <row r="123" spans="4:8" ht="15">
      <c r="D123" s="1"/>
      <c r="H123" s="1"/>
    </row>
    <row r="124" spans="4:8" ht="15">
      <c r="D124" s="1"/>
      <c r="H124" s="1"/>
    </row>
    <row r="125" spans="4:8" ht="15">
      <c r="D125" s="1"/>
      <c r="H125" s="1"/>
    </row>
    <row r="126" spans="4:8" ht="15">
      <c r="D126" s="1"/>
      <c r="H126" s="1"/>
    </row>
    <row r="127" spans="4:8" ht="15">
      <c r="D127" s="1"/>
      <c r="H127" s="1"/>
    </row>
    <row r="128" spans="4:8" ht="15">
      <c r="D128" s="1"/>
      <c r="H128" s="1"/>
    </row>
    <row r="129" spans="4:8" ht="15">
      <c r="D129" s="1"/>
      <c r="H129" s="1"/>
    </row>
    <row r="130" spans="4:8" ht="15">
      <c r="D130" s="1"/>
      <c r="H130" s="1"/>
    </row>
    <row r="131" spans="4:8" ht="15">
      <c r="D131" s="1"/>
      <c r="H131" s="1"/>
    </row>
    <row r="132" spans="4:8" ht="15">
      <c r="D132" s="1"/>
      <c r="H132" s="1"/>
    </row>
    <row r="133" spans="4:8" ht="15">
      <c r="D133" s="1"/>
      <c r="H133" s="1"/>
    </row>
    <row r="134" spans="4:8" ht="15">
      <c r="D134" s="1"/>
      <c r="H134" s="1"/>
    </row>
    <row r="135" spans="4:8" ht="15">
      <c r="D135" s="1"/>
      <c r="H135" s="1"/>
    </row>
    <row r="136" spans="4:8" ht="15">
      <c r="D136" s="1"/>
      <c r="H136" s="1"/>
    </row>
    <row r="137" spans="4:8" ht="15">
      <c r="D137" s="1"/>
      <c r="H137" s="1"/>
    </row>
    <row r="138" spans="4:8" ht="15">
      <c r="D138" s="1"/>
      <c r="H138" s="1"/>
    </row>
    <row r="139" spans="4:8" ht="15">
      <c r="D139" s="1"/>
      <c r="H139" s="1"/>
    </row>
    <row r="140" spans="4:8" ht="15">
      <c r="D140" s="1"/>
      <c r="H140" s="1"/>
    </row>
    <row r="141" spans="4:8" ht="15">
      <c r="D141" s="1"/>
      <c r="H141" s="1"/>
    </row>
    <row r="142" spans="4:8" ht="15">
      <c r="D142" s="1"/>
      <c r="H142" s="1"/>
    </row>
    <row r="143" spans="4:8" ht="15">
      <c r="D143" s="1"/>
      <c r="H143" s="1"/>
    </row>
    <row r="144" spans="4:8" ht="15">
      <c r="D144" s="1"/>
      <c r="H144" s="1"/>
    </row>
    <row r="145" spans="4:8" ht="15">
      <c r="D145" s="1"/>
      <c r="H145" s="1"/>
    </row>
    <row r="146" spans="4:8" ht="15">
      <c r="D146" s="1"/>
      <c r="H146" s="1"/>
    </row>
    <row r="147" spans="4:8" ht="15">
      <c r="D147" s="1"/>
      <c r="H147" s="1"/>
    </row>
    <row r="148" spans="4:8" ht="15">
      <c r="D148" s="1"/>
      <c r="H148" s="1"/>
    </row>
    <row r="149" spans="4:8" ht="15">
      <c r="D149" s="1"/>
      <c r="H149" s="1"/>
    </row>
    <row r="150" spans="4:8" ht="15">
      <c r="D150" s="1"/>
      <c r="H150" s="1"/>
    </row>
    <row r="151" spans="4:8" ht="15">
      <c r="D151" s="1"/>
      <c r="H151" s="1"/>
    </row>
    <row r="152" spans="4:8" ht="15">
      <c r="D152" s="1"/>
      <c r="H152" s="1"/>
    </row>
    <row r="153" spans="4:8" ht="15">
      <c r="D153" s="1"/>
      <c r="H153" s="1"/>
    </row>
    <row r="154" spans="4:8" ht="15">
      <c r="D154" s="1"/>
      <c r="H154" s="1"/>
    </row>
    <row r="155" spans="4:8" ht="15">
      <c r="D155" s="1"/>
      <c r="H155" s="1"/>
    </row>
    <row r="156" spans="4:8" ht="15">
      <c r="D156" s="1"/>
      <c r="H156" s="1"/>
    </row>
    <row r="157" spans="4:8" ht="15">
      <c r="D157" s="1"/>
      <c r="H157" s="1"/>
    </row>
    <row r="158" spans="4:8" ht="15">
      <c r="D158" s="1"/>
      <c r="H158" s="1"/>
    </row>
    <row r="159" spans="4:8" ht="15">
      <c r="D159" s="1"/>
      <c r="H159" s="1"/>
    </row>
    <row r="160" spans="4:8" ht="15">
      <c r="D160" s="1"/>
      <c r="H160" s="1"/>
    </row>
    <row r="161" spans="4:8" ht="15">
      <c r="D161" s="1"/>
      <c r="H161" s="1"/>
    </row>
    <row r="162" spans="4:8" ht="15">
      <c r="D162" s="1"/>
      <c r="H162" s="1"/>
    </row>
    <row r="163" spans="4:8" ht="15">
      <c r="D163" s="1"/>
      <c r="H163" s="1"/>
    </row>
    <row r="164" spans="4:8" ht="15">
      <c r="D164" s="1"/>
      <c r="H164" s="1"/>
    </row>
    <row r="165" spans="4:8" ht="15">
      <c r="D165" s="1"/>
      <c r="H165" s="1"/>
    </row>
    <row r="166" spans="4:8" ht="15">
      <c r="D166" s="1"/>
      <c r="H166" s="1"/>
    </row>
    <row r="167" spans="4:8" ht="15">
      <c r="D167" s="1"/>
      <c r="H167" s="1"/>
    </row>
    <row r="168" spans="4:8" ht="15">
      <c r="D168" s="1"/>
      <c r="H168" s="1"/>
    </row>
    <row r="169" spans="4:8" ht="15">
      <c r="D169" s="1"/>
      <c r="H169" s="1"/>
    </row>
    <row r="170" spans="4:8" ht="15">
      <c r="D170" s="1"/>
      <c r="H170" s="1"/>
    </row>
    <row r="171" spans="4:8" ht="15">
      <c r="D171" s="1"/>
      <c r="H171" s="1"/>
    </row>
    <row r="172" spans="4:8" ht="15">
      <c r="D172" s="1"/>
      <c r="H172" s="1"/>
    </row>
    <row r="173" spans="4:8" ht="15">
      <c r="D173" s="1"/>
      <c r="H173" s="1"/>
    </row>
    <row r="174" spans="4:8" ht="15">
      <c r="D174" s="1"/>
      <c r="H174" s="1"/>
    </row>
    <row r="175" spans="4:8" ht="15">
      <c r="D175" s="1"/>
      <c r="H175" s="1"/>
    </row>
    <row r="176" spans="4:8" ht="15">
      <c r="D176" s="1"/>
      <c r="H176" s="1"/>
    </row>
    <row r="177" spans="8:8" ht="15">
      <c r="H177" s="1"/>
    </row>
    <row r="178" spans="8:8" ht="15">
      <c r="H178" s="1"/>
    </row>
    <row r="179" spans="8:8" ht="15">
      <c r="H179" s="1"/>
    </row>
    <row r="180" spans="8:8" ht="15">
      <c r="H180" s="1"/>
    </row>
    <row r="181" spans="8:8" ht="15">
      <c r="H181" s="1"/>
    </row>
    <row r="182" spans="8:8" ht="15">
      <c r="H182" s="1"/>
    </row>
    <row r="183" spans="8:8" ht="15">
      <c r="H183" s="1"/>
    </row>
    <row r="184" spans="8:8" ht="15">
      <c r="H184" s="1"/>
    </row>
    <row r="185" spans="8:8" ht="15">
      <c r="H185" s="1"/>
    </row>
    <row r="186" spans="8:8" ht="15">
      <c r="H186" s="1"/>
    </row>
    <row r="187" spans="8:8" ht="15">
      <c r="H187" s="1"/>
    </row>
    <row r="188" spans="8:8" ht="15">
      <c r="H188" s="1"/>
    </row>
    <row r="189" spans="8:8" ht="15">
      <c r="H189" s="1"/>
    </row>
    <row r="190" spans="8:8" ht="15">
      <c r="H190" s="1"/>
    </row>
    <row r="191" spans="8:8" ht="15">
      <c r="H191" s="1"/>
    </row>
    <row r="192" spans="8:8" ht="15">
      <c r="H192" s="1"/>
    </row>
    <row r="193" spans="8:8" ht="15">
      <c r="H193" s="1"/>
    </row>
    <row r="194" spans="8:8" ht="15">
      <c r="H194" s="1"/>
    </row>
    <row r="195" spans="8:8" ht="15">
      <c r="H195" s="1"/>
    </row>
    <row r="196" spans="8:8" ht="15">
      <c r="H196" s="1"/>
    </row>
    <row r="197" spans="8:8" ht="15">
      <c r="H197" s="1"/>
    </row>
    <row r="198" spans="8:8" ht="15">
      <c r="H198" s="1"/>
    </row>
    <row r="199" spans="8:8" ht="15">
      <c r="H199" s="1"/>
    </row>
  </sheetData>
  <pageMargins left="0.7" right="0.7" top="0.75" bottom="0.75" header="0.3" footer="0.3"/>
  <pageSetup orientation="portrait" paperSize="1" scale="77" r:id="rId1"/>
  <colBreaks count="1" manualBreakCount="1">
    <brk id="8" max="1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Issuer</vt:lpstr>
      <vt:lpstr>Instrument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Zack Snow</dc:creator>
  <cp:keywords/>
  <dc:description/>
  <cp:lastModifiedBy>Luca Basile</cp:lastModifiedBy>
  <dcterms:created xsi:type="dcterms:W3CDTF">2021-09-29T23:40:08Z</dcterms:created>
  <dcterms:modified xsi:type="dcterms:W3CDTF">2024-02-07T21:33:38Z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thod">
    <vt:lpwstr>Visualization</vt:lpwstr>
  </property>
  <property fmtid="{D5CDD505-2E9C-101B-9397-08002B2CF9AE}" pid="3" name="focus">
    <vt:lpwstr>LKP_MASTER__PORT</vt:lpwstr>
  </property>
  <property fmtid="{D5CDD505-2E9C-101B-9397-08002B2CF9AE}" pid="4" name="periodicity">
    <vt:lpwstr>daily</vt:lpwstr>
  </property>
  <property fmtid="{D5CDD505-2E9C-101B-9397-08002B2CF9AE}" pid="5" name="units">
    <vt:lpwstr>%</vt:lpwstr>
  </property>
  <property fmtid="{D5CDD505-2E9C-101B-9397-08002B2CF9AE}" pid="6" name="compoundingInterval">
    <vt:lpwstr>daily</vt:lpwstr>
  </property>
  <property fmtid="{D5CDD505-2E9C-101B-9397-08002B2CF9AE}" pid="7" name="sortItems">
    <vt:lpwstr>False</vt:lpwstr>
  </property>
  <property fmtid="{D5CDD505-2E9C-101B-9397-08002B2CF9AE}" pid="8" name="disableFocusSwitching">
    <vt:lpwstr>False</vt:lpwstr>
  </property>
  <property fmtid="{D5CDD505-2E9C-101B-9397-08002B2CF9AE}" pid="9" name="timespec">
    <vt:lpwstr>{"begin":"9/16/2026", "end":"9/16/2026", "periodicity":"Weekday"}</vt:lpwstr>
  </property>
  <property fmtid="{D5CDD505-2E9C-101B-9397-08002B2CF9AE}" pid="10" name="filterspec">
    <vt:lpwstr/>
  </property>
  <property fmtid="{D5CDD505-2E9C-101B-9397-08002B2CF9AE}" pid="11" name="identifier">
    <vt:lpwstr>68023e09</vt:lpwstr>
  </property>
  <property fmtid="{D5CDD505-2E9C-101B-9397-08002B2CF9AE}" pid="12" name="beaconPortfolio">
    <vt:lpwstr>LKP_MASTER__PORT_20260916233523</vt:lpwstr>
  </property>
</Properties>
</file>